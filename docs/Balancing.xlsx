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Inputs" sheetId="2" state="visible" r:id="rId4"/>
    <sheet name="Rarity" sheetId="3" state="visible" r:id="rId5"/>
    <sheet name="Capacity" sheetId="4" state="visible" r:id="rId6"/>
    <sheet name="Walk Speed" sheetId="5" state="visible" r:id="rId7"/>
    <sheet name="Biomes" sheetId="6" state="visible" r:id="rId8"/>
    <sheet name="Upgrades" sheetId="7" state="visible" r:id="rId9"/>
    <sheet name="Weather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<sst xmlns="http://schemas.openxmlformats.org/spreadsheetml/2006/main" count="180" uniqueCount="177">
  <si>
    <t xml:space="preserve">Plant the Forest - Balancing Sheet</t>
  </si>
  <si>
    <t xml:space="preserve">Change the blue numbers; every black number recalculates.</t>
  </si>
  <si>
    <t xml:space="preserve">Color key</t>
  </si>
  <si>
    <t xml:space="preserve">Blue text = an input you can change.</t>
  </si>
  <si>
    <t xml:space="preserve">Black text = a formula. Do not type over these.</t>
  </si>
  <si>
    <t xml:space="preserve">Yellow fill = the key result to watch (minutes to fill each forest).</t>
  </si>
  <si>
    <t xml:space="preserve">Tabs</t>
  </si>
  <si>
    <t xml:space="preserve">Inputs - global settings, including the Strength-to-capacity and Speed-to-walk-speed curves.</t>
  </si>
  <si>
    <t xml:space="preserve">Rarity - hexes per tree, coin multiplier per seed, and seed odds.</t>
  </si>
  <si>
    <t xml:space="preserve">Capacity - what Strength does, giant-seed size milestones, training times, and a check against recorded pyramid stats.</t>
  </si>
  <si>
    <t xml:space="preserve">Walk Speed - what Speed does, with the same pyramid check.</t>
  </si>
  <si>
    <t xml:space="preserve">Biomes - the two forest tiers (same map, re-themed): seeds per hex and the estimated time to fill each forest. Tune this tab first.</t>
  </si>
  <si>
    <t xml:space="preserve">Upgrades - coin cost per level for each shop upgrade.</t>
  </si>
  <si>
    <t xml:space="preserve">Weather - event timing, mutation odds and multipliers.</t>
  </si>
  <si>
    <t xml:space="preserve">Stat curves (fitted to recorded Build the Pyramid stats)</t>
  </si>
  <si>
    <t xml:space="preserve">Capacity = ROUND(1 + a x ((1 + Strength / k) ^ q - 1)). Steep at first (2 seeds at 7 Strength), then heavily compressed.</t>
  </si>
  <si>
    <t xml:space="preserve">Walk speed = base + bonus x Speed / (Speed + half-point). Fast early gains, never quite reaches base + bonus.</t>
  </si>
  <si>
    <t xml:space="preserve">How seeds fill the forest</t>
  </si>
  <si>
    <t xml:space="preserve">Each hex needs several seeds to grow its tree to full size ("Seeds per hex" on the Biomes tab). Every seed grows the tree one</t>
  </si>
  <si>
    <t xml:space="preserve">stage with a bounce, and the Forest Bar counts seeds delivered. Later biomes need more seeds per hex, which keeps forests at</t>
  </si>
  <si>
    <t xml:space="preserve">about 12 minutes while the tree count stays low enough for Roblox to render.</t>
  </si>
  <si>
    <t xml:space="preserve">All numbers are starting guesses to replace with real playtest data.</t>
  </si>
  <si>
    <t xml:space="preserve">Global inputs</t>
  </si>
  <si>
    <t xml:space="preserve">Setting</t>
  </si>
  <si>
    <t xml:space="preserve">Value</t>
  </si>
  <si>
    <t xml:space="preserve">Notes</t>
  </si>
  <si>
    <t xml:space="preserve">Active players per server</t>
  </si>
  <si>
    <t xml:space="preserve">Players actively planting, not just online. Max server size is 50; most servers should sit around 35, with about 30 planting at any moment.</t>
  </si>
  <si>
    <t xml:space="preserve">Base walk speed (studs/s)</t>
  </si>
  <si>
    <t xml:space="preserve">Walk speed at 0 Speed. The pyramid game starts players at 32 (Roblox default is 16).</t>
  </si>
  <si>
    <t xml:space="preserve">Max walk speed bonus (studs/s)</t>
  </si>
  <si>
    <t xml:space="preserve">Walk speed approaches base + this but never reaches it (60 here).</t>
  </si>
  <si>
    <t xml:space="preserve">Speed for half the bonus</t>
  </si>
  <si>
    <t xml:space="preserve">At this Speed stat, players get half the bonus. Lower = faster early gains.</t>
  </si>
  <si>
    <t xml:space="preserve">Capacity curve: a</t>
  </si>
  <si>
    <t xml:space="preserve">Scale of the Strength-to-capacity curve. Fitted to pyramid readings.</t>
  </si>
  <si>
    <t xml:space="preserve">Capacity curve: k</t>
  </si>
  <si>
    <t xml:space="preserve">Controls how steep the first few levels are.</t>
  </si>
  <si>
    <t xml:space="preserve">Capacity curve: q</t>
  </si>
  <si>
    <t xml:space="preserve">Long-term compression. Lower = stats inflate more for each extra seed.</t>
  </si>
  <si>
    <t xml:space="preserve">Training rate (stat/s at 1x)</t>
  </si>
  <si>
    <t xml:space="preserve">Automatic: stand on the bench press or treadmill. Planting gives no stats.</t>
  </si>
  <si>
    <t xml:space="preserve">Hex size (studs, center to corner)</t>
  </si>
  <si>
    <t xml:space="preserve">Neighbor trees are 1.73 x this apart.</t>
  </si>
  <si>
    <t xml:space="preserve">Average ring spacing (studs)</t>
  </si>
  <si>
    <t xml:space="preserve">Approximation: rings sit 1.5 to 1.73 hex sizes apart.</t>
  </si>
  <si>
    <t xml:space="preserve">Hub radius (hex rings, no planting)</t>
  </si>
  <si>
    <t xml:space="preserve">Empty clearing in the middle for the seed rack, shops and Training Grove.</t>
  </si>
  <si>
    <t xml:space="preserve">No-plant share (paths, stream)</t>
  </si>
  <si>
    <t xml:space="preserve">Share of forest hexes lost to paths and water.</t>
  </si>
  <si>
    <t xml:space="preserve">Time to grab seeds (s)</t>
  </si>
  <si>
    <t xml:space="preserve">At the seed rack, averaged for a player with some Bulk Pickup. Without upgrades it is 1 seed per press; holding E repeats.</t>
  </si>
  <si>
    <t xml:space="preserve">Time to plant a load (s)</t>
  </si>
  <si>
    <t xml:space="preserve">Averaged for a player with some Bulk Plant. Without upgrades it is 1 seed per press; holding E repeats.</t>
  </si>
  <si>
    <t xml:space="preserve">Rarity values (backlog, not in the first version)</t>
  </si>
  <si>
    <t xml:space="preserve">Rarity</t>
  </si>
  <si>
    <t xml:space="preserve">Hexes per tree</t>
  </si>
  <si>
    <t xml:space="preserve">Coin multiplier per seed</t>
  </si>
  <si>
    <t xml:space="preserve">Base odds (per new tree)</t>
  </si>
  <si>
    <t xml:space="preserve">Hexes x odds</t>
  </si>
  <si>
    <t xml:space="preserve">Hexes x coins x odds</t>
  </si>
  <si>
    <t xml:space="preserve">Common</t>
  </si>
  <si>
    <t xml:space="preserve">Uncommon</t>
  </si>
  <si>
    <t xml:space="preserve">Rare</t>
  </si>
  <si>
    <t xml:space="preserve">Epic</t>
  </si>
  <si>
    <t xml:space="preserve">Legendary</t>
  </si>
  <si>
    <t xml:space="preserve">Mythic</t>
  </si>
  <si>
    <t xml:space="preserve">Total</t>
  </si>
  <si>
    <t xml:space="preserve">Average hexes per tree</t>
  </si>
  <si>
    <t xml:space="preserve">Average coins per seed</t>
  </si>
  <si>
    <t xml:space="preserve">Every tree takes exactly one hex. Rarity is rolled when the first seed lands in an empty hex; every seed earns 1 coin x that tree's multiplier. Mythic trees come only from events. Until rarity ships, every tree is Common.</t>
  </si>
  <si>
    <t xml:space="preserve">Strength to seed capacity</t>
  </si>
  <si>
    <t xml:space="preserve">Gym multiplier:</t>
  </si>
  <si>
    <t xml:space="preserve">Strength</t>
  </si>
  <si>
    <t xml:space="preserve">Seeds per trip</t>
  </si>
  <si>
    <t xml:space="preserve">Strength per +1 seed here</t>
  </si>
  <si>
    <t xml:space="preserve">Minutes to train at 1x</t>
  </si>
  <si>
    <t xml:space="preserve">at 2x</t>
  </si>
  <si>
    <t xml:space="preserve">at 5x</t>
  </si>
  <si>
    <t xml:space="preserve">at 10x</t>
  </si>
  <si>
    <t xml:space="preserve">at 25x</t>
  </si>
  <si>
    <t xml:space="preserve">Giant seed size milestones</t>
  </si>
  <si>
    <t xml:space="preserve">Seeds held</t>
  </si>
  <si>
    <t xml:space="preserve">Strength needed</t>
  </si>
  <si>
    <t xml:space="preserve">How the giant seed looks</t>
  </si>
  <si>
    <t xml:space="preserve">An acorn the size of your head</t>
  </si>
  <si>
    <t xml:space="preserve">As big as your whole body</t>
  </si>
  <si>
    <t xml:space="preserve">Twice your height</t>
  </si>
  <si>
    <t xml:space="preserve">The size of a car</t>
  </si>
  <si>
    <t xml:space="preserve">The size of a house</t>
  </si>
  <si>
    <t xml:space="preserve">Blocks out the sun</t>
  </si>
  <si>
    <t xml:space="preserve">Casts a shadow over the whole hub</t>
  </si>
  <si>
    <t xml:space="preserve">Check: recorded Build the Pyramid stats vs this curve</t>
  </si>
  <si>
    <t xml:space="preserve">Recorded capacity</t>
  </si>
  <si>
    <t xml:space="preserve">Curve gives</t>
  </si>
  <si>
    <t xml:space="preserve">Difference</t>
  </si>
  <si>
    <t xml:space="preserve">Training multipliers (unlocked by forests completed)</t>
  </si>
  <si>
    <t xml:space="preserve">Forests done</t>
  </si>
  <si>
    <t xml:space="preserve">Gym multiplier</t>
  </si>
  <si>
    <t xml:space="preserve">Recorded values come from a player playing Build the Pyramid in October 2026; the curve is a fit, not the game's actual code.</t>
  </si>
  <si>
    <t xml:space="preserve">Speed stat to walk speed</t>
  </si>
  <si>
    <t xml:space="preserve">Speed stat</t>
  </si>
  <si>
    <t xml:space="preserve">Walk speed (studs/s)</t>
  </si>
  <si>
    <t xml:space="preserve">Seconds to cross 100 studs</t>
  </si>
  <si>
    <t xml:space="preserve">Recorded in pyramid</t>
  </si>
  <si>
    <t xml:space="preserve">Forest tiers: size and fill time</t>
  </si>
  <si>
    <t xml:space="preserve">Both tiers use the same map and the same hex grid, re-themed. The server loops back to tier 1 after tier 2. Tune the blue columns until "Minutes to fill" sits around 12.</t>
  </si>
  <si>
    <t xml:space="preserve">#</t>
  </si>
  <si>
    <t xml:space="preserve">Forest tier</t>
  </si>
  <si>
    <t xml:space="preserve">Forest rings (same map)</t>
  </si>
  <si>
    <t xml:space="preserve">Seeds per hex</t>
  </si>
  <si>
    <t xml:space="preserve">Typical Strength</t>
  </si>
  <si>
    <t xml:space="preserve">Typical Speed</t>
  </si>
  <si>
    <t xml:space="preserve">Walk speed</t>
  </si>
  <si>
    <t xml:space="preserve">Plantable hexes</t>
  </si>
  <si>
    <t xml:space="preserve">Estimated trees</t>
  </si>
  <si>
    <t xml:space="preserve">Seeds to fill (Forest Bar target)</t>
  </si>
  <si>
    <t xml:space="preserve">Outer edge (studs)</t>
  </si>
  <si>
    <t xml:space="preserve">Avg trip distance (studs)</t>
  </si>
  <si>
    <t xml:space="preserve">Trip time (s)</t>
  </si>
  <si>
    <t xml:space="preserve">Minutes to fill</t>
  </si>
  <si>
    <t xml:space="preserve">Coins per player per min</t>
  </si>
  <si>
    <t xml:space="preserve">Check</t>
  </si>
  <si>
    <t xml:space="preserve">Meadow Woods</t>
  </si>
  <si>
    <t xml:space="preserve">Cherry Blossom Valley</t>
  </si>
  <si>
    <t xml:space="preserve">Average trip distance assumes rings fill from the hub outward (area-weighted average across the forest).</t>
  </si>
  <si>
    <t xml:space="preserve">Targets are fixed. As players get stronger over many loops, forests finish faster, like a veteran pyramid server finishing in about 6 minutes.</t>
  </si>
  <si>
    <t xml:space="preserve">Seeds per hex: each seed grows a tree one stage, so a hex is complete after this many seeds. Rare trees need hexes x seeds per hex.</t>
  </si>
  <si>
    <t xml:space="preserve">Coin upgrades</t>
  </si>
  <si>
    <t xml:space="preserve">Cost of level n = base cost x growth ^ (n - 1).</t>
  </si>
  <si>
    <t xml:space="preserve">Upgrade</t>
  </si>
  <si>
    <t xml:space="preserve">Effect per level</t>
  </si>
  <si>
    <t xml:space="preserve">Base cost</t>
  </si>
  <si>
    <t xml:space="preserve">Growth</t>
  </si>
  <si>
    <t xml:space="preserve">Max level</t>
  </si>
  <si>
    <t xml:space="preserve">Lvl 1</t>
  </si>
  <si>
    <t xml:space="preserve">Lvl 2</t>
  </si>
  <si>
    <t xml:space="preserve">Lvl 3</t>
  </si>
  <si>
    <t xml:space="preserve">Lvl 4</t>
  </si>
  <si>
    <t xml:space="preserve">Lvl 5</t>
  </si>
  <si>
    <t xml:space="preserve">Total to max</t>
  </si>
  <si>
    <t xml:space="preserve">Bulk Pickup</t>
  </si>
  <si>
    <t xml:space="preserve">Grabs 2 / 4 / 8 / 16 / all seeds per press at the rack (hold E to repeat)</t>
  </si>
  <si>
    <t xml:space="preserve">Bulk Plant</t>
  </si>
  <si>
    <t xml:space="preserve">Plants 2 / 4 / 8 / 16 / all seeds per press (hold E to repeat)</t>
  </si>
  <si>
    <t xml:space="preserve">Quick Hands</t>
  </si>
  <si>
    <t xml:space="preserve">Planting animation 15% faster per level</t>
  </si>
  <si>
    <t xml:space="preserve">Seed Pouch (backlog)</t>
  </si>
  <si>
    <t xml:space="preserve">+5 storage slots for shop seeds per level</t>
  </si>
  <si>
    <t xml:space="preserve">Planting Range</t>
  </si>
  <si>
    <t xml:space="preserve">+2 studs reach to snap onto a plot per level</t>
  </si>
  <si>
    <t xml:space="preserve">Lucky Soil (backlog)</t>
  </si>
  <si>
    <t xml:space="preserve">+2% relative rarity luck per level</t>
  </si>
  <si>
    <t xml:space="preserve">Compare 'Total to max' with 'Coins per player per min' on the Biomes tab to see how many minutes of play each upgrade line costs.</t>
  </si>
  <si>
    <t xml:space="preserve">Weather events and mutations</t>
  </si>
  <si>
    <t xml:space="preserve">Minutes between events</t>
  </si>
  <si>
    <t xml:space="preserve">Event length (minutes)</t>
  </si>
  <si>
    <t xml:space="preserve">Share of play time with an event active</t>
  </si>
  <si>
    <t xml:space="preserve">Event</t>
  </si>
  <si>
    <t xml:space="preserve">Mutation</t>
  </si>
  <si>
    <t xml:space="preserve">Coin multiplier</t>
  </si>
  <si>
    <t xml:space="preserve">Chance per tree</t>
  </si>
  <si>
    <t xml:space="preserve">Pick weight</t>
  </si>
  <si>
    <t xml:space="preserve">Expected bonus per tree</t>
  </si>
  <si>
    <t xml:space="preserve">Rain</t>
  </si>
  <si>
    <t xml:space="preserve">Wet</t>
  </si>
  <si>
    <t xml:space="preserve">Snowfall</t>
  </si>
  <si>
    <t xml:space="preserve">Frozen</t>
  </si>
  <si>
    <t xml:space="preserve">Thunderstorm</t>
  </si>
  <si>
    <t xml:space="preserve">Shocked</t>
  </si>
  <si>
    <t xml:space="preserve">Meteor shower</t>
  </si>
  <si>
    <t xml:space="preserve">Cosmic</t>
  </si>
  <si>
    <t xml:space="preserve">Golden hour</t>
  </si>
  <si>
    <t xml:space="preserve">Golden</t>
  </si>
  <si>
    <t xml:space="preserve">Coin boost from planting during an average event</t>
  </si>
  <si>
    <t xml:space="preserve">Coin boost averaged over all play time</t>
  </si>
  <si>
    <t xml:space="preserve">A tree rolls for a mutation when its first seed lands during an event. Expected bonus = extra coins relative to an unmutated tree.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</si>
</sst>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"/>
    <numFmt numFmtId="166" formatCode="#,##0"/>
    <numFmt numFmtId="167" formatCode="0.0"/>
    <numFmt numFmtId="168" formatCode="0.000"/>
    <numFmt numFmtId="169" formatCode="0%"/>
    <numFmt numFmtId="170" formatCode="0.0\x"/>
    <numFmt numFmtId="171" formatCode="0.00%"/>
    <numFmt numFmtId="172" formatCode="0.0%"/>
    <numFmt numFmtId="173" formatCode="0.00"/>
    <numFmt numFmtId="174" formatCode="0\x"/>
    <numFmt numFmtId="175" formatCode="#,##0.0"/>
    <numFmt numFmtId="176" formatCode="0;\-0;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DEBDD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BD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2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3"/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5" t="s">
        <v>3</v>
      </c>
    </row>
    <row r="6" customFormat="false" ht="15" hidden="false" customHeight="true" outlineLevel="0" collapsed="false">
      <c r="A6" s="3" t="s">
        <v>4</v>
      </c>
    </row>
    <row r="7" customFormat="false" ht="15" hidden="false" customHeight="true" outlineLevel="0" collapsed="false">
      <c r="A7" s="6" t="s">
        <v>5</v>
      </c>
    </row>
    <row r="8" customFormat="false" ht="15" hidden="false" customHeight="true" outlineLevel="0" collapsed="false">
      <c r="A8" s="3"/>
    </row>
    <row r="9" customFormat="false" ht="15" hidden="false" customHeight="true" outlineLevel="0" collapsed="false">
      <c r="A9" s="4" t="s">
        <v>6</v>
      </c>
    </row>
    <row r="10" customFormat="false" ht="15" hidden="false" customHeight="true" outlineLevel="0" collapsed="false">
      <c r="A10" s="3" t="s">
        <v>7</v>
      </c>
    </row>
    <row r="11" customFormat="false" ht="15" hidden="false" customHeight="true" outlineLevel="0" collapsed="false">
      <c r="A11" s="3" t="s">
        <v>8</v>
      </c>
    </row>
    <row r="12" customFormat="false" ht="15" hidden="false" customHeight="true" outlineLevel="0" collapsed="false">
      <c r="A12" s="3" t="s">
        <v>9</v>
      </c>
    </row>
    <row r="13" customFormat="false" ht="15" hidden="false" customHeight="true" outlineLevel="0" collapsed="false">
      <c r="A13" s="3" t="s">
        <v>10</v>
      </c>
    </row>
    <row r="14" customFormat="false" ht="15" hidden="false" customHeight="true" outlineLevel="0" collapsed="false">
      <c r="A14" s="3" t="s">
        <v>11</v>
      </c>
    </row>
    <row r="15" customFormat="false" ht="15" hidden="false" customHeight="true" outlineLevel="0" collapsed="false">
      <c r="A15" s="3" t="s">
        <v>12</v>
      </c>
    </row>
    <row r="16" customFormat="false" ht="15" hidden="false" customHeight="true" outlineLevel="0" collapsed="false">
      <c r="A16" s="3" t="s">
        <v>13</v>
      </c>
    </row>
    <row r="17" customFormat="false" ht="15" hidden="false" customHeight="true" outlineLevel="0" collapsed="false">
      <c r="A17" s="3"/>
    </row>
    <row r="18" customFormat="false" ht="15" hidden="false" customHeight="true" outlineLevel="0" collapsed="false">
      <c r="A18" s="4" t="s">
        <v>14</v>
      </c>
    </row>
    <row r="19" customFormat="false" ht="15" hidden="false" customHeight="true" outlineLevel="0" collapsed="false">
      <c r="A19" s="3" t="s">
        <v>15</v>
      </c>
    </row>
    <row r="20" customFormat="false" ht="15" hidden="false" customHeight="true" outlineLevel="0" collapsed="false">
      <c r="A20" s="3" t="s">
        <v>16</v>
      </c>
    </row>
    <row r="21" customFormat="false" ht="15" hidden="false" customHeight="true" outlineLevel="0" collapsed="false">
      <c r="A21" s="3"/>
    </row>
    <row r="22" customFormat="false" ht="15" hidden="false" customHeight="true" outlineLevel="0" collapsed="false">
      <c r="A22" s="4" t="s">
        <v>17</v>
      </c>
    </row>
    <row r="23" customFormat="false" ht="15" hidden="false" customHeight="true" outlineLevel="0" collapsed="false">
      <c r="A23" s="3" t="s">
        <v>18</v>
      </c>
    </row>
    <row r="24" customFormat="false" ht="15" hidden="false" customHeight="true" outlineLevel="0" collapsed="false">
      <c r="A24" s="3" t="s">
        <v>19</v>
      </c>
    </row>
    <row r="25" customFormat="false" ht="15" hidden="false" customHeight="true" outlineLevel="0" collapsed="false">
      <c r="A25" s="3" t="s">
        <v>20</v>
      </c>
    </row>
    <row r="26" customFormat="false" ht="15" hidden="false" customHeight="true" outlineLevel="0" collapsed="false">
      <c r="A26" s="3"/>
    </row>
    <row r="27" customFormat="false" ht="15" hidden="false" customHeight="true" outlineLevel="0" collapsed="false">
      <c r="A27" s="7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2"/>
    <col collapsed="false" customWidth="true" hidden="false" outlineLevel="0" max="3" min="3" style="1" width="78"/>
  </cols>
  <sheetData>
    <row r="1" customFormat="false" ht="17.25" hidden="false" customHeight="true" outlineLevel="0" collapsed="false">
      <c r="A1" s="2" t="s">
        <v>22</v>
      </c>
    </row>
    <row r="3" customFormat="false" ht="31.5" hidden="false" customHeight="true" outlineLevel="0" collapsed="false">
      <c r="A3" s="8" t="s">
        <v>23</v>
      </c>
      <c r="B3" s="8" t="s">
        <v>24</v>
      </c>
      <c r="C3" s="8" t="s">
        <v>25</v>
      </c>
    </row>
    <row r="4" customFormat="false" ht="15" hidden="false" customHeight="true" outlineLevel="0" collapsed="false">
      <c r="A4" s="3" t="s">
        <v>26</v>
      </c>
      <c r="B4" s="9" t="n">
        <v>30</v>
      </c>
      <c r="C4" s="7" t="s">
        <v>27</v>
      </c>
    </row>
    <row r="5" customFormat="false" ht="15" hidden="false" customHeight="true" outlineLevel="0" collapsed="false">
      <c r="A5" s="3" t="s">
        <v>28</v>
      </c>
      <c r="B5" s="9" t="n">
        <v>32</v>
      </c>
      <c r="C5" s="7" t="s">
        <v>29</v>
      </c>
    </row>
    <row r="6" customFormat="false" ht="15" hidden="false" customHeight="true" outlineLevel="0" collapsed="false">
      <c r="A6" s="3" t="s">
        <v>30</v>
      </c>
      <c r="B6" s="9" t="n">
        <v>28</v>
      </c>
      <c r="C6" s="7" t="s">
        <v>31</v>
      </c>
    </row>
    <row r="7" customFormat="false" ht="15" hidden="false" customHeight="true" outlineLevel="0" collapsed="false">
      <c r="A7" s="3" t="s">
        <v>32</v>
      </c>
      <c r="B7" s="10" t="n">
        <v>230</v>
      </c>
      <c r="C7" s="7" t="s">
        <v>33</v>
      </c>
    </row>
    <row r="8" customFormat="false" ht="15" hidden="false" customHeight="true" outlineLevel="0" collapsed="false">
      <c r="A8" s="3" t="s">
        <v>34</v>
      </c>
      <c r="B8" s="11" t="n">
        <v>19.3</v>
      </c>
      <c r="C8" s="7" t="s">
        <v>35</v>
      </c>
    </row>
    <row r="9" customFormat="false" ht="15" hidden="false" customHeight="true" outlineLevel="0" collapsed="false">
      <c r="A9" s="3" t="s">
        <v>36</v>
      </c>
      <c r="B9" s="9" t="n">
        <v>37</v>
      </c>
      <c r="C9" s="7" t="s">
        <v>37</v>
      </c>
    </row>
    <row r="10" customFormat="false" ht="15" hidden="false" customHeight="true" outlineLevel="0" collapsed="false">
      <c r="A10" s="3" t="s">
        <v>38</v>
      </c>
      <c r="B10" s="12" t="n">
        <v>0.256</v>
      </c>
      <c r="C10" s="7" t="s">
        <v>39</v>
      </c>
    </row>
    <row r="11" customFormat="false" ht="15" hidden="false" customHeight="true" outlineLevel="0" collapsed="false">
      <c r="A11" s="3" t="s">
        <v>40</v>
      </c>
      <c r="B11" s="11" t="n">
        <v>1</v>
      </c>
      <c r="C11" s="7" t="s">
        <v>41</v>
      </c>
    </row>
    <row r="12" customFormat="false" ht="15" hidden="false" customHeight="true" outlineLevel="0" collapsed="false">
      <c r="A12" s="3" t="s">
        <v>42</v>
      </c>
      <c r="B12" s="11" t="n">
        <v>5</v>
      </c>
      <c r="C12" s="7" t="s">
        <v>43</v>
      </c>
    </row>
    <row r="13" customFormat="false" ht="15" hidden="false" customHeight="true" outlineLevel="0" collapsed="false">
      <c r="A13" s="3" t="s">
        <v>44</v>
      </c>
      <c r="B13" s="13" t="n">
        <f aca="false">B12*1.6</f>
        <v>8</v>
      </c>
      <c r="C13" s="7" t="s">
        <v>45</v>
      </c>
    </row>
    <row r="14" customFormat="false" ht="15" hidden="false" customHeight="true" outlineLevel="0" collapsed="false">
      <c r="A14" s="3" t="s">
        <v>46</v>
      </c>
      <c r="B14" s="9" t="n">
        <v>5</v>
      </c>
      <c r="C14" s="7" t="s">
        <v>47</v>
      </c>
    </row>
    <row r="15" customFormat="false" ht="15" hidden="false" customHeight="true" outlineLevel="0" collapsed="false">
      <c r="A15" s="3" t="s">
        <v>48</v>
      </c>
      <c r="B15" s="14" t="n">
        <v>0.1</v>
      </c>
      <c r="C15" s="7" t="s">
        <v>49</v>
      </c>
    </row>
    <row r="16" customFormat="false" ht="15" hidden="false" customHeight="true" outlineLevel="0" collapsed="false">
      <c r="A16" s="3" t="s">
        <v>50</v>
      </c>
      <c r="B16" s="11" t="n">
        <v>1</v>
      </c>
      <c r="C16" s="7" t="s">
        <v>51</v>
      </c>
    </row>
    <row r="17" customFormat="false" ht="15" hidden="false" customHeight="true" outlineLevel="0" collapsed="false">
      <c r="A17" s="3" t="s">
        <v>52</v>
      </c>
      <c r="B17" s="11" t="n">
        <v>0.5</v>
      </c>
      <c r="C17" s="7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2"/>
    <col collapsed="false" customWidth="true" hidden="false" outlineLevel="0" max="4" min="3" style="1" width="15"/>
    <col collapsed="false" customWidth="true" hidden="false" outlineLevel="0" max="5" min="5" style="1" width="13"/>
    <col collapsed="false" customWidth="true" hidden="false" outlineLevel="0" max="6" min="6" style="1" width="16"/>
  </cols>
  <sheetData>
    <row r="1" customFormat="false" ht="17.25" hidden="false" customHeight="true" outlineLevel="0" collapsed="false">
      <c r="A1" s="2" t="s">
        <v>54</v>
      </c>
    </row>
    <row r="3" customFormat="false" ht="31.5" hidden="false" customHeight="true" outlineLevel="0" collapsed="false">
      <c r="A3" s="8" t="s">
        <v>55</v>
      </c>
      <c r="B3" s="8" t="s">
        <v>56</v>
      </c>
      <c r="C3" s="8" t="s">
        <v>57</v>
      </c>
      <c r="D3" s="8" t="s">
        <v>58</v>
      </c>
      <c r="E3" s="8" t="s">
        <v>59</v>
      </c>
      <c r="F3" s="8" t="s">
        <v>60</v>
      </c>
    </row>
    <row r="4" customFormat="false" ht="15" hidden="false" customHeight="true" outlineLevel="0" collapsed="false">
      <c r="A4" s="3" t="s">
        <v>61</v>
      </c>
      <c r="B4" s="9" t="n">
        <v>1</v>
      </c>
      <c r="C4" s="15" t="n">
        <v>1</v>
      </c>
      <c r="D4" s="16" t="n">
        <v>0.8767</v>
      </c>
      <c r="E4" s="17" t="n">
        <f aca="false">B4*D4</f>
        <v>0.8767</v>
      </c>
      <c r="F4" s="17" t="n">
        <f aca="false">B4*C4*D4</f>
        <v>0.8767</v>
      </c>
    </row>
    <row r="5" customFormat="false" ht="15" hidden="false" customHeight="true" outlineLevel="0" collapsed="false">
      <c r="A5" s="3" t="s">
        <v>62</v>
      </c>
      <c r="B5" s="9" t="n">
        <v>1</v>
      </c>
      <c r="C5" s="15" t="n">
        <v>1.5</v>
      </c>
      <c r="D5" s="16" t="n">
        <v>0.1</v>
      </c>
      <c r="E5" s="17" t="n">
        <f aca="false">B5*D5</f>
        <v>0.1</v>
      </c>
      <c r="F5" s="17" t="n">
        <f aca="false">B5*C5*D5</f>
        <v>0.15</v>
      </c>
    </row>
    <row r="6" customFormat="false" ht="15" hidden="false" customHeight="true" outlineLevel="0" collapsed="false">
      <c r="A6" s="3" t="s">
        <v>63</v>
      </c>
      <c r="B6" s="9" t="n">
        <v>1</v>
      </c>
      <c r="C6" s="15" t="n">
        <v>2</v>
      </c>
      <c r="D6" s="16" t="n">
        <v>0.02</v>
      </c>
      <c r="E6" s="17" t="n">
        <f aca="false">B6*D6</f>
        <v>0.02</v>
      </c>
      <c r="F6" s="17" t="n">
        <f aca="false">B6*C6*D6</f>
        <v>0.04</v>
      </c>
    </row>
    <row r="7" customFormat="false" ht="15" hidden="false" customHeight="true" outlineLevel="0" collapsed="false">
      <c r="A7" s="3" t="s">
        <v>64</v>
      </c>
      <c r="B7" s="9" t="n">
        <v>1</v>
      </c>
      <c r="C7" s="15" t="n">
        <v>3</v>
      </c>
      <c r="D7" s="16" t="n">
        <v>0.003</v>
      </c>
      <c r="E7" s="17" t="n">
        <f aca="false">B7*D7</f>
        <v>0.003</v>
      </c>
      <c r="F7" s="17" t="n">
        <f aca="false">B7*C7*D7</f>
        <v>0.009</v>
      </c>
    </row>
    <row r="8" customFormat="false" ht="15" hidden="false" customHeight="true" outlineLevel="0" collapsed="false">
      <c r="A8" s="3" t="s">
        <v>65</v>
      </c>
      <c r="B8" s="9" t="n">
        <v>1</v>
      </c>
      <c r="C8" s="15" t="n">
        <v>5</v>
      </c>
      <c r="D8" s="16" t="n">
        <v>0.0003</v>
      </c>
      <c r="E8" s="17" t="n">
        <f aca="false">B8*D8</f>
        <v>0.0003</v>
      </c>
      <c r="F8" s="17" t="n">
        <f aca="false">B8*C8*D8</f>
        <v>0.0015</v>
      </c>
    </row>
    <row r="9" customFormat="false" ht="15" hidden="false" customHeight="true" outlineLevel="0" collapsed="false">
      <c r="A9" s="3" t="s">
        <v>66</v>
      </c>
      <c r="B9" s="9" t="n">
        <v>1</v>
      </c>
      <c r="C9" s="15" t="n">
        <v>10</v>
      </c>
      <c r="D9" s="16" t="n">
        <v>0</v>
      </c>
      <c r="E9" s="17" t="n">
        <f aca="false">B9*D9</f>
        <v>0</v>
      </c>
      <c r="F9" s="17" t="n">
        <f aca="false">B9*C9*D9</f>
        <v>0</v>
      </c>
    </row>
    <row r="10" customFormat="false" ht="15" hidden="false" customHeight="true" outlineLevel="0" collapsed="false">
      <c r="A10" s="4" t="s">
        <v>67</v>
      </c>
      <c r="D10" s="18" t="n">
        <f aca="false">SUM(D4:D9)</f>
        <v>1</v>
      </c>
    </row>
    <row r="12" customFormat="false" ht="15" hidden="false" customHeight="true" outlineLevel="0" collapsed="false">
      <c r="A12" s="4" t="s">
        <v>68</v>
      </c>
      <c r="B12" s="19" t="n">
        <f aca="false">SUM(E4:E9)/D10</f>
        <v>1</v>
      </c>
    </row>
    <row r="13" customFormat="false" ht="15" hidden="false" customHeight="true" outlineLevel="0" collapsed="false">
      <c r="A13" s="4" t="s">
        <v>69</v>
      </c>
      <c r="B13" s="19" t="n">
        <f aca="false">SUM(F4:F9)/SUM(E4:E9)</f>
        <v>1.0772</v>
      </c>
    </row>
    <row r="15" customFormat="false" ht="15" hidden="false" customHeight="true" outlineLevel="0" collapsed="false">
      <c r="A15" s="7" t="s"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"/>
    <col collapsed="false" customWidth="true" hidden="false" outlineLevel="0" max="3" min="3" style="1" width="34"/>
    <col collapsed="false" customWidth="true" hidden="false" outlineLevel="0" max="4" min="4" style="1" width="14"/>
    <col collapsed="false" customWidth="true" hidden="false" outlineLevel="0" max="8" min="5" style="1" width="10"/>
  </cols>
  <sheetData>
    <row r="1" customFormat="false" ht="17.25" hidden="false" customHeight="true" outlineLevel="0" collapsed="false">
      <c r="A1" s="2" t="s">
        <v>71</v>
      </c>
    </row>
    <row r="2" customFormat="false" ht="15" hidden="false" customHeight="true" outlineLevel="0" collapsed="false">
      <c r="A2" s="7" t="s">
        <v>72</v>
      </c>
      <c r="D2" s="20" t="n">
        <v>1</v>
      </c>
      <c r="E2" s="20" t="n">
        <v>2</v>
      </c>
      <c r="F2" s="20" t="n">
        <v>5</v>
      </c>
      <c r="G2" s="20" t="n">
        <v>10</v>
      </c>
      <c r="H2" s="20" t="n">
        <v>25</v>
      </c>
    </row>
    <row r="3" customFormat="false" ht="31.5" hidden="false" customHeight="true" outlineLevel="0" collapsed="false">
      <c r="A3" s="8" t="s">
        <v>73</v>
      </c>
      <c r="B3" s="8" t="s">
        <v>74</v>
      </c>
      <c r="C3" s="8" t="s">
        <v>75</v>
      </c>
      <c r="D3" s="8" t="s">
        <v>76</v>
      </c>
      <c r="E3" s="8" t="s">
        <v>77</v>
      </c>
      <c r="F3" s="8" t="s">
        <v>78</v>
      </c>
      <c r="G3" s="8" t="s">
        <v>79</v>
      </c>
      <c r="H3" s="8" t="s">
        <v>80</v>
      </c>
    </row>
    <row r="4" customFormat="false" ht="15" hidden="false" customHeight="true" outlineLevel="0" collapsed="false">
      <c r="A4" s="10" t="n">
        <v>0</v>
      </c>
      <c r="B4" s="21" t="n">
        <f aca="false">ROUND(1+Inputs!$B$8*((1+(A4)/Inputs!$B$9)^Inputs!$B$10-1),0)</f>
        <v>1</v>
      </c>
      <c r="C4" s="21" t="n">
        <f aca="false">1/(Inputs!$B$8*Inputs!$B$10/Inputs!$B$9*(1+A4/Inputs!$B$9)^(Inputs!$B$10-1))</f>
        <v>7.48866580310881</v>
      </c>
      <c r="D4" s="22" t="n">
        <f aca="false">A4/(Inputs!$B$11*D$2)/60</f>
        <v>0</v>
      </c>
      <c r="E4" s="22" t="n">
        <f aca="false">A4/(Inputs!$B$11*E$2)/60</f>
        <v>0</v>
      </c>
      <c r="F4" s="22" t="n">
        <f aca="false">A4/(Inputs!$B$11*F$2)/60</f>
        <v>0</v>
      </c>
      <c r="G4" s="22" t="n">
        <f aca="false">A4/(Inputs!$B$11*G$2)/60</f>
        <v>0</v>
      </c>
      <c r="H4" s="22" t="n">
        <f aca="false">A4/(Inputs!$B$11*H$2)/60</f>
        <v>0</v>
      </c>
    </row>
    <row r="5" customFormat="false" ht="15" hidden="false" customHeight="true" outlineLevel="0" collapsed="false">
      <c r="A5" s="10" t="n">
        <v>7</v>
      </c>
      <c r="B5" s="21" t="n">
        <f aca="false">ROUND(1+Inputs!$B$8*((1+(A5)/Inputs!$B$9)^Inputs!$B$10-1),0)</f>
        <v>2</v>
      </c>
      <c r="C5" s="21" t="n">
        <f aca="false">1/(Inputs!$B$8*Inputs!$B$10/Inputs!$B$9*(1+A5/Inputs!$B$9)^(Inputs!$B$10-1))</f>
        <v>8.51904982609965</v>
      </c>
      <c r="D5" s="22" t="n">
        <f aca="false">A5/(Inputs!$B$11*D$2)/60</f>
        <v>0.116666666666667</v>
      </c>
      <c r="E5" s="22" t="n">
        <f aca="false">A5/(Inputs!$B$11*E$2)/60</f>
        <v>0.0583333333333333</v>
      </c>
      <c r="F5" s="22" t="n">
        <f aca="false">A5/(Inputs!$B$11*F$2)/60</f>
        <v>0.0233333333333333</v>
      </c>
      <c r="G5" s="22" t="n">
        <f aca="false">A5/(Inputs!$B$11*G$2)/60</f>
        <v>0.0116666666666667</v>
      </c>
      <c r="H5" s="22" t="n">
        <f aca="false">A5/(Inputs!$B$11*H$2)/60</f>
        <v>0.00466666666666667</v>
      </c>
    </row>
    <row r="6" customFormat="false" ht="15" hidden="false" customHeight="true" outlineLevel="0" collapsed="false">
      <c r="A6" s="10" t="n">
        <v>28</v>
      </c>
      <c r="B6" s="21" t="n">
        <f aca="false">ROUND(1+Inputs!$B$8*((1+(A6)/Inputs!$B$9)^Inputs!$B$10-1),0)</f>
        <v>4</v>
      </c>
      <c r="C6" s="21" t="n">
        <f aca="false">1/(Inputs!$B$8*Inputs!$B$10/Inputs!$B$9*(1+A6/Inputs!$B$9)^(Inputs!$B$10-1))</f>
        <v>11.3885885882202</v>
      </c>
      <c r="D6" s="22" t="n">
        <f aca="false">A6/(Inputs!$B$11*D$2)/60</f>
        <v>0.466666666666667</v>
      </c>
      <c r="E6" s="22" t="n">
        <f aca="false">A6/(Inputs!$B$11*E$2)/60</f>
        <v>0.233333333333333</v>
      </c>
      <c r="F6" s="22" t="n">
        <f aca="false">A6/(Inputs!$B$11*F$2)/60</f>
        <v>0.0933333333333333</v>
      </c>
      <c r="G6" s="22" t="n">
        <f aca="false">A6/(Inputs!$B$11*G$2)/60</f>
        <v>0.0466666666666667</v>
      </c>
      <c r="H6" s="22" t="n">
        <f aca="false">A6/(Inputs!$B$11*H$2)/60</f>
        <v>0.0186666666666667</v>
      </c>
    </row>
    <row r="7" customFormat="false" ht="15" hidden="false" customHeight="true" outlineLevel="0" collapsed="false">
      <c r="A7" s="10" t="n">
        <v>55</v>
      </c>
      <c r="B7" s="21" t="n">
        <f aca="false">ROUND(1+Inputs!$B$8*((1+(A7)/Inputs!$B$9)^Inputs!$B$10-1),0)</f>
        <v>6</v>
      </c>
      <c r="C7" s="21" t="n">
        <f aca="false">1/(Inputs!$B$8*Inputs!$B$10/Inputs!$B$9*(1+A7/Inputs!$B$9)^(Inputs!$B$10-1))</f>
        <v>14.7475715057579</v>
      </c>
      <c r="D7" s="22" t="n">
        <f aca="false">A7/(Inputs!$B$11*D$2)/60</f>
        <v>0.916666666666667</v>
      </c>
      <c r="E7" s="22" t="n">
        <f aca="false">A7/(Inputs!$B$11*E$2)/60</f>
        <v>0.458333333333333</v>
      </c>
      <c r="F7" s="22" t="n">
        <f aca="false">A7/(Inputs!$B$11*F$2)/60</f>
        <v>0.183333333333333</v>
      </c>
      <c r="G7" s="22" t="n">
        <f aca="false">A7/(Inputs!$B$11*G$2)/60</f>
        <v>0.0916666666666667</v>
      </c>
      <c r="H7" s="22" t="n">
        <f aca="false">A7/(Inputs!$B$11*H$2)/60</f>
        <v>0.0366666666666667</v>
      </c>
    </row>
    <row r="8" customFormat="false" ht="15" hidden="false" customHeight="true" outlineLevel="0" collapsed="false">
      <c r="A8" s="10" t="n">
        <v>100</v>
      </c>
      <c r="B8" s="21" t="n">
        <f aca="false">ROUND(1+Inputs!$B$8*((1+(A8)/Inputs!$B$9)^Inputs!$B$10-1),0)</f>
        <v>9</v>
      </c>
      <c r="C8" s="21" t="n">
        <f aca="false">1/(Inputs!$B$8*Inputs!$B$10/Inputs!$B$9*(1+A8/Inputs!$B$9)^(Inputs!$B$10-1))</f>
        <v>19.8327286075853</v>
      </c>
      <c r="D8" s="22" t="n">
        <f aca="false">A8/(Inputs!$B$11*D$2)/60</f>
        <v>1.66666666666667</v>
      </c>
      <c r="E8" s="22" t="n">
        <f aca="false">A8/(Inputs!$B$11*E$2)/60</f>
        <v>0.833333333333333</v>
      </c>
      <c r="F8" s="22" t="n">
        <f aca="false">A8/(Inputs!$B$11*F$2)/60</f>
        <v>0.333333333333333</v>
      </c>
      <c r="G8" s="22" t="n">
        <f aca="false">A8/(Inputs!$B$11*G$2)/60</f>
        <v>0.166666666666667</v>
      </c>
      <c r="H8" s="22" t="n">
        <f aca="false">A8/(Inputs!$B$11*H$2)/60</f>
        <v>0.0666666666666667</v>
      </c>
    </row>
    <row r="9" customFormat="false" ht="15" hidden="false" customHeight="true" outlineLevel="0" collapsed="false">
      <c r="A9" s="10" t="n">
        <v>250</v>
      </c>
      <c r="B9" s="21" t="n">
        <f aca="false">ROUND(1+Inputs!$B$8*((1+(A9)/Inputs!$B$9)^Inputs!$B$10-1),0)</f>
        <v>14</v>
      </c>
      <c r="C9" s="21" t="n">
        <f aca="false">1/(Inputs!$B$8*Inputs!$B$10/Inputs!$B$9*(1+A9/Inputs!$B$9)^(Inputs!$B$10-1))</f>
        <v>34.3816328412072</v>
      </c>
      <c r="D9" s="22" t="n">
        <f aca="false">A9/(Inputs!$B$11*D$2)/60</f>
        <v>4.16666666666667</v>
      </c>
      <c r="E9" s="22" t="n">
        <f aca="false">A9/(Inputs!$B$11*E$2)/60</f>
        <v>2.08333333333333</v>
      </c>
      <c r="F9" s="22" t="n">
        <f aca="false">A9/(Inputs!$B$11*F$2)/60</f>
        <v>0.833333333333333</v>
      </c>
      <c r="G9" s="22" t="n">
        <f aca="false">A9/(Inputs!$B$11*G$2)/60</f>
        <v>0.416666666666667</v>
      </c>
      <c r="H9" s="22" t="n">
        <f aca="false">A9/(Inputs!$B$11*H$2)/60</f>
        <v>0.166666666666667</v>
      </c>
    </row>
    <row r="10" customFormat="false" ht="15" hidden="false" customHeight="true" outlineLevel="0" collapsed="false">
      <c r="A10" s="10" t="n">
        <v>500</v>
      </c>
      <c r="B10" s="21" t="n">
        <f aca="false">ROUND(1+Inputs!$B$8*((1+(A10)/Inputs!$B$9)^Inputs!$B$10-1),0)</f>
        <v>20</v>
      </c>
      <c r="C10" s="21" t="n">
        <f aca="false">1/(Inputs!$B$8*Inputs!$B$10/Inputs!$B$9*(1+A10/Inputs!$B$9)^(Inputs!$B$10-1))</f>
        <v>54.7978142134856</v>
      </c>
      <c r="D10" s="22" t="n">
        <f aca="false">A10/(Inputs!$B$11*D$2)/60</f>
        <v>8.33333333333333</v>
      </c>
      <c r="E10" s="22" t="n">
        <f aca="false">A10/(Inputs!$B$11*E$2)/60</f>
        <v>4.16666666666667</v>
      </c>
      <c r="F10" s="22" t="n">
        <f aca="false">A10/(Inputs!$B$11*F$2)/60</f>
        <v>1.66666666666667</v>
      </c>
      <c r="G10" s="22" t="n">
        <f aca="false">A10/(Inputs!$B$11*G$2)/60</f>
        <v>0.833333333333333</v>
      </c>
      <c r="H10" s="22" t="n">
        <f aca="false">A10/(Inputs!$B$11*H$2)/60</f>
        <v>0.333333333333333</v>
      </c>
    </row>
    <row r="11" customFormat="false" ht="15" hidden="false" customHeight="true" outlineLevel="0" collapsed="false">
      <c r="A11" s="10" t="n">
        <v>1000</v>
      </c>
      <c r="B11" s="21" t="n">
        <f aca="false">ROUND(1+Inputs!$B$8*((1+(A11)/Inputs!$B$9)^Inputs!$B$10-1),0)</f>
        <v>27</v>
      </c>
      <c r="C11" s="21" t="n">
        <f aca="false">1/(Inputs!$B$8*Inputs!$B$10/Inputs!$B$9*(1+A11/Inputs!$B$9)^(Inputs!$B$10-1))</f>
        <v>89.4132254706574</v>
      </c>
      <c r="D11" s="22" t="n">
        <f aca="false">A11/(Inputs!$B$11*D$2)/60</f>
        <v>16.6666666666667</v>
      </c>
      <c r="E11" s="22" t="n">
        <f aca="false">A11/(Inputs!$B$11*E$2)/60</f>
        <v>8.33333333333333</v>
      </c>
      <c r="F11" s="22" t="n">
        <f aca="false">A11/(Inputs!$B$11*F$2)/60</f>
        <v>3.33333333333333</v>
      </c>
      <c r="G11" s="22" t="n">
        <f aca="false">A11/(Inputs!$B$11*G$2)/60</f>
        <v>1.66666666666667</v>
      </c>
      <c r="H11" s="22" t="n">
        <f aca="false">A11/(Inputs!$B$11*H$2)/60</f>
        <v>0.666666666666667</v>
      </c>
    </row>
    <row r="12" customFormat="false" ht="15" hidden="false" customHeight="true" outlineLevel="0" collapsed="false">
      <c r="A12" s="10" t="n">
        <v>2386</v>
      </c>
      <c r="B12" s="21" t="n">
        <f aca="false">ROUND(1+Inputs!$B$8*((1+(A12)/Inputs!$B$9)^Inputs!$B$10-1),0)</f>
        <v>38</v>
      </c>
      <c r="C12" s="21" t="n">
        <f aca="false">1/(Inputs!$B$8*Inputs!$B$10/Inputs!$B$9*(1+A12/Inputs!$B$9)^(Inputs!$B$10-1))</f>
        <v>168.12074550949</v>
      </c>
      <c r="D12" s="22" t="n">
        <f aca="false">A12/(Inputs!$B$11*D$2)/60</f>
        <v>39.7666666666667</v>
      </c>
      <c r="E12" s="22" t="n">
        <f aca="false">A12/(Inputs!$B$11*E$2)/60</f>
        <v>19.8833333333333</v>
      </c>
      <c r="F12" s="22" t="n">
        <f aca="false">A12/(Inputs!$B$11*F$2)/60</f>
        <v>7.95333333333333</v>
      </c>
      <c r="G12" s="22" t="n">
        <f aca="false">A12/(Inputs!$B$11*G$2)/60</f>
        <v>3.97666666666667</v>
      </c>
      <c r="H12" s="22" t="n">
        <f aca="false">A12/(Inputs!$B$11*H$2)/60</f>
        <v>1.59066666666667</v>
      </c>
    </row>
    <row r="13" customFormat="false" ht="15" hidden="false" customHeight="true" outlineLevel="0" collapsed="false">
      <c r="A13" s="10" t="n">
        <v>5000</v>
      </c>
      <c r="B13" s="21" t="n">
        <f aca="false">ROUND(1+Inputs!$B$8*((1+(A13)/Inputs!$B$9)^Inputs!$B$10-1),0)</f>
        <v>50</v>
      </c>
      <c r="C13" s="21" t="n">
        <f aca="false">1/(Inputs!$B$8*Inputs!$B$10/Inputs!$B$9*(1+A13/Inputs!$B$9)^(Inputs!$B$10-1))</f>
        <v>289.786599371526</v>
      </c>
      <c r="D13" s="22" t="n">
        <f aca="false">A13/(Inputs!$B$11*D$2)/60</f>
        <v>83.3333333333333</v>
      </c>
      <c r="E13" s="22" t="n">
        <f aca="false">A13/(Inputs!$B$11*E$2)/60</f>
        <v>41.6666666666667</v>
      </c>
      <c r="F13" s="22" t="n">
        <f aca="false">A13/(Inputs!$B$11*F$2)/60</f>
        <v>16.6666666666667</v>
      </c>
      <c r="G13" s="22" t="n">
        <f aca="false">A13/(Inputs!$B$11*G$2)/60</f>
        <v>8.33333333333333</v>
      </c>
      <c r="H13" s="22" t="n">
        <f aca="false">A13/(Inputs!$B$11*H$2)/60</f>
        <v>3.33333333333333</v>
      </c>
    </row>
    <row r="14" customFormat="false" ht="15" hidden="false" customHeight="true" outlineLevel="0" collapsed="false">
      <c r="A14" s="10" t="n">
        <v>10000</v>
      </c>
      <c r="B14" s="21" t="n">
        <f aca="false">ROUND(1+Inputs!$B$8*((1+(A14)/Inputs!$B$9)^Inputs!$B$10-1),0)</f>
        <v>63</v>
      </c>
      <c r="C14" s="21" t="n">
        <f aca="false">1/(Inputs!$B$8*Inputs!$B$10/Inputs!$B$9*(1+A14/Inputs!$B$9)^(Inputs!$B$10-1))</f>
        <v>484.011506805776</v>
      </c>
      <c r="D14" s="22" t="n">
        <f aca="false">A14/(Inputs!$B$11*D$2)/60</f>
        <v>166.666666666667</v>
      </c>
      <c r="E14" s="22" t="n">
        <f aca="false">A14/(Inputs!$B$11*E$2)/60</f>
        <v>83.3333333333333</v>
      </c>
      <c r="F14" s="22" t="n">
        <f aca="false">A14/(Inputs!$B$11*F$2)/60</f>
        <v>33.3333333333333</v>
      </c>
      <c r="G14" s="22" t="n">
        <f aca="false">A14/(Inputs!$B$11*G$2)/60</f>
        <v>16.6666666666667</v>
      </c>
      <c r="H14" s="22" t="n">
        <f aca="false">A14/(Inputs!$B$11*H$2)/60</f>
        <v>6.66666666666667</v>
      </c>
    </row>
    <row r="15" customFormat="false" ht="15" hidden="false" customHeight="true" outlineLevel="0" collapsed="false">
      <c r="A15" s="10" t="n">
        <v>25000</v>
      </c>
      <c r="B15" s="21" t="n">
        <f aca="false">ROUND(1+Inputs!$B$8*((1+(A15)/Inputs!$B$9)^Inputs!$B$10-1),0)</f>
        <v>84</v>
      </c>
      <c r="C15" s="21" t="n">
        <f aca="false">1/(Inputs!$B$8*Inputs!$B$10/Inputs!$B$9*(1+A15/Inputs!$B$9)^(Inputs!$B$10-1))</f>
        <v>955.449176192447</v>
      </c>
      <c r="D15" s="22" t="n">
        <f aca="false">A15/(Inputs!$B$11*D$2)/60</f>
        <v>416.666666666667</v>
      </c>
      <c r="E15" s="22" t="n">
        <f aca="false">A15/(Inputs!$B$11*E$2)/60</f>
        <v>208.333333333333</v>
      </c>
      <c r="F15" s="22" t="n">
        <f aca="false">A15/(Inputs!$B$11*F$2)/60</f>
        <v>83.3333333333333</v>
      </c>
      <c r="G15" s="22" t="n">
        <f aca="false">A15/(Inputs!$B$11*G$2)/60</f>
        <v>41.6666666666667</v>
      </c>
      <c r="H15" s="22" t="n">
        <f aca="false">A15/(Inputs!$B$11*H$2)/60</f>
        <v>16.6666666666667</v>
      </c>
    </row>
    <row r="16" customFormat="false" ht="15" hidden="false" customHeight="true" outlineLevel="0" collapsed="false">
      <c r="A16" s="10" t="n">
        <v>50000</v>
      </c>
      <c r="B16" s="21" t="n">
        <f aca="false">ROUND(1+Inputs!$B$8*((1+(A16)/Inputs!$B$9)^Inputs!$B$10-1),0)</f>
        <v>104</v>
      </c>
      <c r="C16" s="21" t="n">
        <f aca="false">1/(Inputs!$B$8*Inputs!$B$10/Inputs!$B$9*(1+A16/Inputs!$B$9)^(Inputs!$B$10-1))</f>
        <v>1599.31889060547</v>
      </c>
      <c r="D16" s="22" t="n">
        <f aca="false">A16/(Inputs!$B$11*D$2)/60</f>
        <v>833.333333333333</v>
      </c>
      <c r="E16" s="22" t="n">
        <f aca="false">A16/(Inputs!$B$11*E$2)/60</f>
        <v>416.666666666667</v>
      </c>
      <c r="F16" s="22" t="n">
        <f aca="false">A16/(Inputs!$B$11*F$2)/60</f>
        <v>166.666666666667</v>
      </c>
      <c r="G16" s="22" t="n">
        <f aca="false">A16/(Inputs!$B$11*G$2)/60</f>
        <v>83.3333333333333</v>
      </c>
      <c r="H16" s="22" t="n">
        <f aca="false">A16/(Inputs!$B$11*H$2)/60</f>
        <v>33.3333333333333</v>
      </c>
    </row>
    <row r="17" customFormat="false" ht="15" hidden="false" customHeight="true" outlineLevel="0" collapsed="false">
      <c r="A17" s="10" t="n">
        <v>100000</v>
      </c>
      <c r="B17" s="21" t="n">
        <f aca="false">ROUND(1+Inputs!$B$8*((1+(A17)/Inputs!$B$9)^Inputs!$B$10-1),0)</f>
        <v>128</v>
      </c>
      <c r="C17" s="21" t="n">
        <f aca="false">1/(Inputs!$B$8*Inputs!$B$10/Inputs!$B$9*(1+A17/Inputs!$B$9)^(Inputs!$B$10-1))</f>
        <v>2677.8231855344</v>
      </c>
      <c r="D17" s="22" t="n">
        <f aca="false">A17/(Inputs!$B$11*D$2)/60</f>
        <v>1666.66666666667</v>
      </c>
      <c r="E17" s="22" t="n">
        <f aca="false">A17/(Inputs!$B$11*E$2)/60</f>
        <v>833.333333333333</v>
      </c>
      <c r="F17" s="22" t="n">
        <f aca="false">A17/(Inputs!$B$11*F$2)/60</f>
        <v>333.333333333333</v>
      </c>
      <c r="G17" s="22" t="n">
        <f aca="false">A17/(Inputs!$B$11*G$2)/60</f>
        <v>166.666666666667</v>
      </c>
      <c r="H17" s="22" t="n">
        <f aca="false">A17/(Inputs!$B$11*H$2)/60</f>
        <v>66.6666666666667</v>
      </c>
    </row>
    <row r="18" customFormat="false" ht="15" hidden="false" customHeight="true" outlineLevel="0" collapsed="false">
      <c r="A18" s="10" t="n">
        <v>250000</v>
      </c>
      <c r="B18" s="21" t="n">
        <f aca="false">ROUND(1+Inputs!$B$8*((1+(A18)/Inputs!$B$9)^Inputs!$B$10-1),0)</f>
        <v>166</v>
      </c>
      <c r="C18" s="21" t="n">
        <f aca="false">1/(Inputs!$B$8*Inputs!$B$10/Inputs!$B$9*(1+A18/Inputs!$B$9)^(Inputs!$B$10-1))</f>
        <v>5293.92215625348</v>
      </c>
      <c r="D18" s="22" t="n">
        <f aca="false">A18/(Inputs!$B$11*D$2)/60</f>
        <v>4166.66666666667</v>
      </c>
      <c r="E18" s="22" t="n">
        <f aca="false">A18/(Inputs!$B$11*E$2)/60</f>
        <v>2083.33333333333</v>
      </c>
      <c r="F18" s="22" t="n">
        <f aca="false">A18/(Inputs!$B$11*F$2)/60</f>
        <v>833.333333333333</v>
      </c>
      <c r="G18" s="22" t="n">
        <f aca="false">A18/(Inputs!$B$11*G$2)/60</f>
        <v>416.666666666667</v>
      </c>
      <c r="H18" s="22" t="n">
        <f aca="false">A18/(Inputs!$B$11*H$2)/60</f>
        <v>166.666666666667</v>
      </c>
    </row>
    <row r="19" customFormat="false" ht="15" hidden="false" customHeight="true" outlineLevel="0" collapsed="false">
      <c r="A19" s="10" t="n">
        <v>500000</v>
      </c>
      <c r="B19" s="21" t="n">
        <f aca="false">ROUND(1+Inputs!$B$8*((1+(A19)/Inputs!$B$9)^Inputs!$B$10-1),0)</f>
        <v>202</v>
      </c>
      <c r="C19" s="21" t="n">
        <f aca="false">1/(Inputs!$B$8*Inputs!$B$10/Inputs!$B$9*(1+A19/Inputs!$B$9)^(Inputs!$B$10-1))</f>
        <v>8865.84143899692</v>
      </c>
      <c r="D19" s="22" t="n">
        <f aca="false">A19/(Inputs!$B$11*D$2)/60</f>
        <v>8333.33333333333</v>
      </c>
      <c r="E19" s="22" t="n">
        <f aca="false">A19/(Inputs!$B$11*E$2)/60</f>
        <v>4166.66666666667</v>
      </c>
      <c r="F19" s="22" t="n">
        <f aca="false">A19/(Inputs!$B$11*F$2)/60</f>
        <v>1666.66666666667</v>
      </c>
      <c r="G19" s="22" t="n">
        <f aca="false">A19/(Inputs!$B$11*G$2)/60</f>
        <v>833.333333333333</v>
      </c>
      <c r="H19" s="22" t="n">
        <f aca="false">A19/(Inputs!$B$11*H$2)/60</f>
        <v>333.333333333333</v>
      </c>
    </row>
    <row r="20" customFormat="false" ht="15" hidden="false" customHeight="true" outlineLevel="0" collapsed="false">
      <c r="A20" s="10" t="n">
        <v>1000000</v>
      </c>
      <c r="B20" s="21" t="n">
        <f aca="false">ROUND(1+Inputs!$B$8*((1+(A20)/Inputs!$B$9)^Inputs!$B$10-1),0)</f>
        <v>245</v>
      </c>
      <c r="C20" s="21" t="n">
        <f aca="false">1/(Inputs!$B$8*Inputs!$B$10/Inputs!$B$9*(1+A20/Inputs!$B$9)^(Inputs!$B$10-1))</f>
        <v>14848.2175517999</v>
      </c>
      <c r="D20" s="22" t="n">
        <f aca="false">A20/(Inputs!$B$11*D$2)/60</f>
        <v>16666.6666666667</v>
      </c>
      <c r="E20" s="22" t="n">
        <f aca="false">A20/(Inputs!$B$11*E$2)/60</f>
        <v>8333.33333333333</v>
      </c>
      <c r="F20" s="22" t="n">
        <f aca="false">A20/(Inputs!$B$11*F$2)/60</f>
        <v>3333.33333333333</v>
      </c>
      <c r="G20" s="22" t="n">
        <f aca="false">A20/(Inputs!$B$11*G$2)/60</f>
        <v>1666.66666666667</v>
      </c>
      <c r="H20" s="22" t="n">
        <f aca="false">A20/(Inputs!$B$11*H$2)/60</f>
        <v>666.666666666667</v>
      </c>
    </row>
    <row r="22" customFormat="false" ht="15" hidden="false" customHeight="true" outlineLevel="0" collapsed="false">
      <c r="A22" s="4" t="s">
        <v>81</v>
      </c>
    </row>
    <row r="23" customFormat="false" ht="31.5" hidden="false" customHeight="true" outlineLevel="0" collapsed="false">
      <c r="A23" s="8" t="s">
        <v>82</v>
      </c>
      <c r="B23" s="8" t="s">
        <v>83</v>
      </c>
      <c r="C23" s="8" t="s">
        <v>84</v>
      </c>
    </row>
    <row r="24" customFormat="false" ht="15" hidden="false" customHeight="true" outlineLevel="0" collapsed="false">
      <c r="A24" s="10" t="n">
        <v>1</v>
      </c>
      <c r="B24" s="21" t="n">
        <f aca="false">ROUND(Inputs!$B$9*(((A24-1)/Inputs!$B$8+1)^(1/Inputs!$B$10)-1),0)</f>
        <v>0</v>
      </c>
      <c r="C24" s="5" t="s">
        <v>85</v>
      </c>
    </row>
    <row r="25" customFormat="false" ht="15" hidden="false" customHeight="true" outlineLevel="0" collapsed="false">
      <c r="A25" s="10" t="n">
        <v>5</v>
      </c>
      <c r="B25" s="21" t="n">
        <f aca="false">ROUND(Inputs!$B$9*(((A25-1)/Inputs!$B$8+1)^(1/Inputs!$B$10)-1),0)</f>
        <v>40</v>
      </c>
      <c r="C25" s="5" t="s">
        <v>86</v>
      </c>
    </row>
    <row r="26" customFormat="false" ht="15" hidden="false" customHeight="true" outlineLevel="0" collapsed="false">
      <c r="A26" s="10" t="n">
        <v>15</v>
      </c>
      <c r="B26" s="21" t="n">
        <f aca="false">ROUND(Inputs!$B$9*(((A26-1)/Inputs!$B$8+1)^(1/Inputs!$B$10)-1),0)</f>
        <v>275</v>
      </c>
      <c r="C26" s="5" t="s">
        <v>87</v>
      </c>
    </row>
    <row r="27" customFormat="false" ht="15" hidden="false" customHeight="true" outlineLevel="0" collapsed="false">
      <c r="A27" s="10" t="n">
        <v>40</v>
      </c>
      <c r="B27" s="21" t="n">
        <f aca="false">ROUND(Inputs!$B$9*(((A27-1)/Inputs!$B$8+1)^(1/Inputs!$B$10)-1),0)</f>
        <v>2740</v>
      </c>
      <c r="C27" s="5" t="s">
        <v>88</v>
      </c>
    </row>
    <row r="28" customFormat="false" ht="15" hidden="false" customHeight="true" outlineLevel="0" collapsed="false">
      <c r="A28" s="10" t="n">
        <v>80</v>
      </c>
      <c r="B28" s="21" t="n">
        <f aca="false">ROUND(Inputs!$B$9*(((A28-1)/Inputs!$B$8+1)^(1/Inputs!$B$10)-1),0)</f>
        <v>21338</v>
      </c>
      <c r="C28" s="5" t="s">
        <v>89</v>
      </c>
    </row>
    <row r="29" customFormat="false" ht="15" hidden="false" customHeight="true" outlineLevel="0" collapsed="false">
      <c r="A29" s="10" t="n">
        <v>150</v>
      </c>
      <c r="B29" s="21" t="n">
        <f aca="false">ROUND(Inputs!$B$9*(((A29-1)/Inputs!$B$8+1)^(1/Inputs!$B$10)-1),0)</f>
        <v>174599</v>
      </c>
      <c r="C29" s="5" t="s">
        <v>90</v>
      </c>
    </row>
    <row r="30" customFormat="false" ht="15" hidden="false" customHeight="true" outlineLevel="0" collapsed="false">
      <c r="A30" s="10" t="n">
        <v>250</v>
      </c>
      <c r="B30" s="21" t="n">
        <f aca="false">ROUND(Inputs!$B$9*(((A30-1)/Inputs!$B$8+1)^(1/Inputs!$B$10)-1),0)</f>
        <v>1079638</v>
      </c>
      <c r="C30" s="5" t="s">
        <v>91</v>
      </c>
    </row>
    <row r="32" customFormat="false" ht="15" hidden="false" customHeight="true" outlineLevel="0" collapsed="false">
      <c r="A32" s="4" t="s">
        <v>92</v>
      </c>
    </row>
    <row r="33" customFormat="false" ht="31.5" hidden="false" customHeight="true" outlineLevel="0" collapsed="false">
      <c r="A33" s="8" t="s">
        <v>73</v>
      </c>
      <c r="B33" s="8" t="s">
        <v>93</v>
      </c>
      <c r="C33" s="8" t="s">
        <v>94</v>
      </c>
      <c r="D33" s="8" t="s">
        <v>95</v>
      </c>
    </row>
    <row r="34" customFormat="false" ht="15" hidden="false" customHeight="true" outlineLevel="0" collapsed="false">
      <c r="A34" s="10" t="n">
        <v>0</v>
      </c>
      <c r="B34" s="9" t="n">
        <v>1</v>
      </c>
      <c r="C34" s="23" t="n">
        <f aca="false">ROUND(1+Inputs!$B$8*((1+(A34)/Inputs!$B$9)^Inputs!$B$10-1),0)</f>
        <v>1</v>
      </c>
      <c r="D34" s="24" t="n">
        <f aca="false">C34-B34</f>
        <v>0</v>
      </c>
    </row>
    <row r="35" customFormat="false" ht="15" hidden="false" customHeight="true" outlineLevel="0" collapsed="false">
      <c r="A35" s="10" t="n">
        <v>7</v>
      </c>
      <c r="B35" s="9" t="n">
        <v>2</v>
      </c>
      <c r="C35" s="23" t="n">
        <f aca="false">ROUND(1+Inputs!$B$8*((1+(A35)/Inputs!$B$9)^Inputs!$B$10-1),0)</f>
        <v>2</v>
      </c>
      <c r="D35" s="24" t="n">
        <f aca="false">C35-B35</f>
        <v>0</v>
      </c>
    </row>
    <row r="36" customFormat="false" ht="15" hidden="false" customHeight="true" outlineLevel="0" collapsed="false">
      <c r="A36" s="10" t="n">
        <v>28</v>
      </c>
      <c r="B36" s="9" t="n">
        <v>4</v>
      </c>
      <c r="C36" s="23" t="n">
        <f aca="false">ROUND(1+Inputs!$B$8*((1+(A36)/Inputs!$B$9)^Inputs!$B$10-1),0)</f>
        <v>4</v>
      </c>
      <c r="D36" s="24" t="n">
        <f aca="false">C36-B36</f>
        <v>0</v>
      </c>
    </row>
    <row r="37" customFormat="false" ht="15" hidden="false" customHeight="true" outlineLevel="0" collapsed="false">
      <c r="A37" s="10" t="n">
        <v>40</v>
      </c>
      <c r="B37" s="9" t="n">
        <v>5</v>
      </c>
      <c r="C37" s="23" t="n">
        <f aca="false">ROUND(1+Inputs!$B$8*((1+(A37)/Inputs!$B$9)^Inputs!$B$10-1),0)</f>
        <v>5</v>
      </c>
      <c r="D37" s="24" t="n">
        <f aca="false">C37-B37</f>
        <v>0</v>
      </c>
    </row>
    <row r="38" customFormat="false" ht="15" hidden="false" customHeight="true" outlineLevel="0" collapsed="false">
      <c r="A38" s="10" t="n">
        <v>55</v>
      </c>
      <c r="B38" s="9" t="n">
        <v>6</v>
      </c>
      <c r="C38" s="23" t="n">
        <f aca="false">ROUND(1+Inputs!$B$8*((1+(A38)/Inputs!$B$9)^Inputs!$B$10-1),0)</f>
        <v>6</v>
      </c>
      <c r="D38" s="24" t="n">
        <f aca="false">C38-B38</f>
        <v>0</v>
      </c>
    </row>
    <row r="39" customFormat="false" ht="15" hidden="false" customHeight="true" outlineLevel="0" collapsed="false">
      <c r="A39" s="10" t="n">
        <v>1000</v>
      </c>
      <c r="B39" s="9" t="n">
        <v>27</v>
      </c>
      <c r="C39" s="23" t="n">
        <f aca="false">ROUND(1+Inputs!$B$8*((1+(A39)/Inputs!$B$9)^Inputs!$B$10-1),0)</f>
        <v>27</v>
      </c>
      <c r="D39" s="24" t="n">
        <f aca="false">C39-B39</f>
        <v>0</v>
      </c>
    </row>
    <row r="40" customFormat="false" ht="15" hidden="false" customHeight="true" outlineLevel="0" collapsed="false">
      <c r="A40" s="10" t="n">
        <v>1090</v>
      </c>
      <c r="B40" s="9" t="n">
        <v>28</v>
      </c>
      <c r="C40" s="23" t="n">
        <f aca="false">ROUND(1+Inputs!$B$8*((1+(A40)/Inputs!$B$9)^Inputs!$B$10-1),0)</f>
        <v>28</v>
      </c>
      <c r="D40" s="24" t="n">
        <f aca="false">C40-B40</f>
        <v>0</v>
      </c>
    </row>
    <row r="41" customFormat="false" ht="15" hidden="false" customHeight="true" outlineLevel="0" collapsed="false">
      <c r="A41" s="10" t="n">
        <v>1190</v>
      </c>
      <c r="B41" s="9" t="n">
        <v>29</v>
      </c>
      <c r="C41" s="23" t="n">
        <f aca="false">ROUND(1+Inputs!$B$8*((1+(A41)/Inputs!$B$9)^Inputs!$B$10-1),0)</f>
        <v>29</v>
      </c>
      <c r="D41" s="24" t="n">
        <f aca="false">C41-B41</f>
        <v>0</v>
      </c>
    </row>
    <row r="42" customFormat="false" ht="15" hidden="false" customHeight="true" outlineLevel="0" collapsed="false">
      <c r="A42" s="10" t="n">
        <v>2386</v>
      </c>
      <c r="B42" s="9" t="n">
        <v>38</v>
      </c>
      <c r="C42" s="23" t="n">
        <f aca="false">ROUND(1+Inputs!$B$8*((1+(A42)/Inputs!$B$9)^Inputs!$B$10-1),0)</f>
        <v>38</v>
      </c>
      <c r="D42" s="24" t="n">
        <f aca="false">C42-B42</f>
        <v>0</v>
      </c>
    </row>
    <row r="44" customFormat="false" ht="15" hidden="false" customHeight="true" outlineLevel="0" collapsed="false">
      <c r="A44" s="4" t="s">
        <v>96</v>
      </c>
    </row>
    <row r="45" customFormat="false" ht="31.5" hidden="false" customHeight="true" outlineLevel="0" collapsed="false">
      <c r="A45" s="8" t="s">
        <v>97</v>
      </c>
      <c r="B45" s="8" t="s">
        <v>98</v>
      </c>
    </row>
    <row r="46" customFormat="false" ht="15" hidden="false" customHeight="true" outlineLevel="0" collapsed="false">
      <c r="A46" s="9" t="n">
        <v>0</v>
      </c>
      <c r="B46" s="20" t="n">
        <v>1</v>
      </c>
    </row>
    <row r="47" customFormat="false" ht="15" hidden="false" customHeight="true" outlineLevel="0" collapsed="false">
      <c r="A47" s="9" t="n">
        <v>1</v>
      </c>
      <c r="B47" s="20" t="n">
        <v>2</v>
      </c>
    </row>
    <row r="48" customFormat="false" ht="15" hidden="false" customHeight="true" outlineLevel="0" collapsed="false">
      <c r="A48" s="9" t="n">
        <v>3</v>
      </c>
      <c r="B48" s="20" t="n">
        <v>5</v>
      </c>
    </row>
    <row r="49" customFormat="false" ht="15" hidden="false" customHeight="true" outlineLevel="0" collapsed="false">
      <c r="A49" s="9" t="n">
        <v>8</v>
      </c>
      <c r="B49" s="20" t="n">
        <v>10</v>
      </c>
    </row>
    <row r="50" customFormat="false" ht="15" hidden="false" customHeight="true" outlineLevel="0" collapsed="false">
      <c r="A50" s="9" t="n">
        <v>15</v>
      </c>
      <c r="B50" s="20" t="n">
        <v>25</v>
      </c>
    </row>
    <row r="52" customFormat="false" ht="15" hidden="false" customHeight="true" outlineLevel="0" collapsed="false">
      <c r="A52" s="7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8"/>
    <col collapsed="false" customWidth="true" hidden="false" outlineLevel="0" max="3" min="3" style="1" width="20"/>
    <col collapsed="false" customWidth="true" hidden="false" outlineLevel="0" max="4" min="4" style="1" width="22"/>
    <col collapsed="false" customWidth="true" hidden="false" outlineLevel="0" max="5" min="5" style="1" width="18"/>
  </cols>
  <sheetData>
    <row r="1" customFormat="false" ht="17.25" hidden="false" customHeight="true" outlineLevel="0" collapsed="false">
      <c r="A1" s="2" t="s">
        <v>100</v>
      </c>
    </row>
    <row r="3" customFormat="false" ht="31.5" hidden="false" customHeight="true" outlineLevel="0" collapsed="false">
      <c r="A3" s="8" t="s">
        <v>101</v>
      </c>
      <c r="B3" s="8" t="s">
        <v>102</v>
      </c>
      <c r="C3" s="8" t="s">
        <v>76</v>
      </c>
      <c r="D3" s="8" t="s">
        <v>103</v>
      </c>
      <c r="E3" s="8" t="s">
        <v>104</v>
      </c>
    </row>
    <row r="4" customFormat="false" ht="15" hidden="false" customHeight="true" outlineLevel="0" collapsed="false">
      <c r="A4" s="10" t="n">
        <v>0</v>
      </c>
      <c r="B4" s="13" t="n">
        <f aca="false">Inputs!$B$5+Inputs!$B$6*(A4)/((A4)+Inputs!$B$7)</f>
        <v>32</v>
      </c>
      <c r="C4" s="22" t="n">
        <f aca="false">A4/Inputs!$B$11/60</f>
        <v>0</v>
      </c>
      <c r="D4" s="13" t="n">
        <f aca="false">100/B4</f>
        <v>3.125</v>
      </c>
      <c r="E4" s="9" t="n">
        <v>32</v>
      </c>
    </row>
    <row r="5" customFormat="false" ht="15" hidden="false" customHeight="true" outlineLevel="0" collapsed="false">
      <c r="A5" s="10" t="n">
        <v>9</v>
      </c>
      <c r="B5" s="13" t="n">
        <f aca="false">Inputs!$B$5+Inputs!$B$6*(A5)/((A5)+Inputs!$B$7)</f>
        <v>33.0543933054393</v>
      </c>
      <c r="C5" s="22" t="n">
        <f aca="false">A5/Inputs!$B$11/60</f>
        <v>0.15</v>
      </c>
      <c r="D5" s="13" t="n">
        <f aca="false">100/B5</f>
        <v>3.0253164556962</v>
      </c>
      <c r="E5" s="9" t="n">
        <v>33</v>
      </c>
    </row>
    <row r="6" customFormat="false" ht="15" hidden="false" customHeight="true" outlineLevel="0" collapsed="false">
      <c r="A6" s="10" t="n">
        <v>18</v>
      </c>
      <c r="B6" s="13" t="n">
        <f aca="false">Inputs!$B$5+Inputs!$B$6*(A6)/((A6)+Inputs!$B$7)</f>
        <v>34.0322580645161</v>
      </c>
      <c r="C6" s="22" t="n">
        <f aca="false">A6/Inputs!$B$11/60</f>
        <v>0.3</v>
      </c>
      <c r="D6" s="13" t="n">
        <f aca="false">100/B6</f>
        <v>2.93838862559242</v>
      </c>
      <c r="E6" s="9" t="n">
        <v>34</v>
      </c>
    </row>
    <row r="7" customFormat="false" ht="15" hidden="false" customHeight="true" outlineLevel="0" collapsed="false">
      <c r="A7" s="10" t="n">
        <v>27</v>
      </c>
      <c r="B7" s="13" t="n">
        <f aca="false">Inputs!$B$5+Inputs!$B$6*(A7)/((A7)+Inputs!$B$7)</f>
        <v>34.9416342412451</v>
      </c>
      <c r="C7" s="22" t="n">
        <f aca="false">A7/Inputs!$B$11/60</f>
        <v>0.45</v>
      </c>
      <c r="D7" s="13" t="n">
        <f aca="false">100/B7</f>
        <v>2.8619153674833</v>
      </c>
      <c r="E7" s="9" t="n">
        <v>35</v>
      </c>
    </row>
    <row r="8" customFormat="false" ht="15" hidden="false" customHeight="true" outlineLevel="0" collapsed="false">
      <c r="A8" s="10" t="n">
        <v>100</v>
      </c>
      <c r="B8" s="13" t="n">
        <f aca="false">Inputs!$B$5+Inputs!$B$6*(A8)/((A8)+Inputs!$B$7)</f>
        <v>40.4848484848485</v>
      </c>
      <c r="C8" s="22" t="n">
        <f aca="false">A8/Inputs!$B$11/60</f>
        <v>1.66666666666667</v>
      </c>
      <c r="D8" s="13" t="n">
        <f aca="false">100/B8</f>
        <v>2.47005988023952</v>
      </c>
    </row>
    <row r="9" customFormat="false" ht="15" hidden="false" customHeight="true" outlineLevel="0" collapsed="false">
      <c r="A9" s="10" t="n">
        <v>230</v>
      </c>
      <c r="B9" s="13" t="n">
        <f aca="false">Inputs!$B$5+Inputs!$B$6*(A9)/((A9)+Inputs!$B$7)</f>
        <v>46</v>
      </c>
      <c r="C9" s="22" t="n">
        <f aca="false">A9/Inputs!$B$11/60</f>
        <v>3.83333333333333</v>
      </c>
      <c r="D9" s="13" t="n">
        <f aca="false">100/B9</f>
        <v>2.17391304347826</v>
      </c>
    </row>
    <row r="10" customFormat="false" ht="15" hidden="false" customHeight="true" outlineLevel="0" collapsed="false">
      <c r="A10" s="10" t="n">
        <v>579</v>
      </c>
      <c r="B10" s="13" t="n">
        <f aca="false">Inputs!$B$5+Inputs!$B$6*(A10)/((A10)+Inputs!$B$7)</f>
        <v>52.0395550061805</v>
      </c>
      <c r="C10" s="22" t="n">
        <f aca="false">A10/Inputs!$B$11/60</f>
        <v>9.65</v>
      </c>
      <c r="D10" s="13" t="n">
        <f aca="false">100/B10</f>
        <v>1.92161520190024</v>
      </c>
      <c r="E10" s="9" t="n">
        <v>52</v>
      </c>
    </row>
    <row r="11" customFormat="false" ht="15" hidden="false" customHeight="true" outlineLevel="0" collapsed="false">
      <c r="A11" s="10" t="n">
        <v>1000</v>
      </c>
      <c r="B11" s="13" t="n">
        <f aca="false">Inputs!$B$5+Inputs!$B$6*(A11)/((A11)+Inputs!$B$7)</f>
        <v>54.7642276422764</v>
      </c>
      <c r="C11" s="22" t="n">
        <f aca="false">A11/Inputs!$B$11/60</f>
        <v>16.6666666666667</v>
      </c>
      <c r="D11" s="13" t="n">
        <f aca="false">100/B11</f>
        <v>1.82600950118765</v>
      </c>
    </row>
    <row r="12" customFormat="false" ht="15" hidden="false" customHeight="true" outlineLevel="0" collapsed="false">
      <c r="A12" s="10" t="n">
        <v>2000</v>
      </c>
      <c r="B12" s="13" t="n">
        <f aca="false">Inputs!$B$5+Inputs!$B$6*(A12)/((A12)+Inputs!$B$7)</f>
        <v>57.1121076233184</v>
      </c>
      <c r="C12" s="22" t="n">
        <f aca="false">A12/Inputs!$B$11/60</f>
        <v>33.3333333333333</v>
      </c>
      <c r="D12" s="13" t="n">
        <f aca="false">100/B12</f>
        <v>1.75094221105528</v>
      </c>
    </row>
    <row r="13" customFormat="false" ht="15" hidden="false" customHeight="true" outlineLevel="0" collapsed="false">
      <c r="A13" s="10" t="n">
        <v>5000</v>
      </c>
      <c r="B13" s="13" t="n">
        <f aca="false">Inputs!$B$5+Inputs!$B$6*(A13)/((A13)+Inputs!$B$7)</f>
        <v>58.7686424474187</v>
      </c>
      <c r="C13" s="22" t="n">
        <f aca="false">A13/Inputs!$B$11/60</f>
        <v>83.3333333333333</v>
      </c>
      <c r="D13" s="13" t="n">
        <f aca="false">100/B13</f>
        <v>1.70158771473191</v>
      </c>
    </row>
    <row r="14" customFormat="false" ht="15" hidden="false" customHeight="true" outlineLevel="0" collapsed="false">
      <c r="A14" s="10" t="n">
        <v>10000</v>
      </c>
      <c r="B14" s="13" t="n">
        <f aca="false">Inputs!$B$5+Inputs!$B$6*(A14)/((A14)+Inputs!$B$7)</f>
        <v>59.3704789833822</v>
      </c>
      <c r="C14" s="22" t="n">
        <f aca="false">A14/Inputs!$B$11/60</f>
        <v>166.666666666667</v>
      </c>
      <c r="D14" s="13" t="n">
        <f aca="false">100/B14</f>
        <v>1.6843387776607</v>
      </c>
    </row>
    <row r="15" customFormat="false" ht="15" hidden="false" customHeight="true" outlineLevel="0" collapsed="false">
      <c r="A15" s="10" t="n">
        <v>50000</v>
      </c>
      <c r="B15" s="13" t="n">
        <f aca="false">Inputs!$B$5+Inputs!$B$6*(A15)/((A15)+Inputs!$B$7)</f>
        <v>59.8717897670715</v>
      </c>
      <c r="C15" s="22" t="n">
        <f aca="false">A15/Inputs!$B$11/60</f>
        <v>833.333333333333</v>
      </c>
      <c r="D15" s="13" t="n">
        <f aca="false">100/B15</f>
        <v>1.67023568844435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1"/>
    <col collapsed="false" customWidth="true" hidden="false" outlineLevel="0" max="4" min="3" style="1" width="8"/>
    <col collapsed="false" customWidth="true" hidden="false" outlineLevel="0" max="5" min="5" style="1" width="11"/>
    <col collapsed="false" customWidth="true" hidden="false" outlineLevel="0" max="6" min="6" style="1" width="10"/>
    <col collapsed="false" customWidth="true" hidden="false" outlineLevel="0" max="7" min="7" style="1" width="9"/>
    <col collapsed="false" customWidth="true" hidden="false" outlineLevel="0" max="8" min="8" style="1" width="8"/>
    <col collapsed="false" customWidth="true" hidden="false" outlineLevel="0" max="10" min="9" style="1" width="10"/>
    <col collapsed="false" customWidth="true" hidden="false" outlineLevel="0" max="11" min="11" style="1" width="13"/>
    <col collapsed="false" customWidth="true" hidden="false" outlineLevel="0" max="12" min="12" style="1" width="10"/>
    <col collapsed="false" customWidth="true" hidden="false" outlineLevel="0" max="13" min="13" style="1" width="11"/>
    <col collapsed="false" customWidth="true" hidden="false" outlineLevel="0" max="14" min="14" style="1" width="8"/>
    <col collapsed="false" customWidth="true" hidden="false" outlineLevel="0" max="15" min="15" style="1" width="9"/>
    <col collapsed="false" customWidth="true" hidden="false" outlineLevel="0" max="16" min="16" style="1" width="11"/>
    <col collapsed="false" customWidth="true" hidden="false" outlineLevel="0" max="17" min="17" style="1" width="28"/>
  </cols>
  <sheetData>
    <row r="1" customFormat="false" ht="17.25" hidden="false" customHeight="true" outlineLevel="0" collapsed="false">
      <c r="A1" s="2" t="s">
        <v>105</v>
      </c>
    </row>
    <row r="2" customFormat="false" ht="15" hidden="false" customHeight="true" outlineLevel="0" collapsed="false">
      <c r="A2" s="7" t="s">
        <v>106</v>
      </c>
    </row>
    <row r="4" customFormat="false" ht="31.5" hidden="false" customHeight="true" outlineLevel="0" collapsed="false">
      <c r="A4" s="8" t="s">
        <v>107</v>
      </c>
      <c r="B4" s="8" t="s">
        <v>108</v>
      </c>
      <c r="C4" s="8" t="s">
        <v>109</v>
      </c>
      <c r="D4" s="8" t="s">
        <v>110</v>
      </c>
      <c r="E4" s="8" t="s">
        <v>111</v>
      </c>
      <c r="F4" s="8" t="s">
        <v>112</v>
      </c>
      <c r="G4" s="8" t="s">
        <v>74</v>
      </c>
      <c r="H4" s="8" t="s">
        <v>113</v>
      </c>
      <c r="I4" s="8" t="s">
        <v>114</v>
      </c>
      <c r="J4" s="8" t="s">
        <v>115</v>
      </c>
      <c r="K4" s="8" t="s">
        <v>116</v>
      </c>
      <c r="L4" s="8" t="s">
        <v>117</v>
      </c>
      <c r="M4" s="8" t="s">
        <v>118</v>
      </c>
      <c r="N4" s="8" t="s">
        <v>119</v>
      </c>
      <c r="O4" s="8" t="s">
        <v>120</v>
      </c>
      <c r="P4" s="8" t="s">
        <v>121</v>
      </c>
      <c r="Q4" s="8" t="s">
        <v>122</v>
      </c>
    </row>
    <row r="5" customFormat="false" ht="15" hidden="false" customHeight="true" outlineLevel="0" collapsed="false">
      <c r="A5" s="23" t="n">
        <v>1</v>
      </c>
      <c r="B5" s="5" t="s">
        <v>123</v>
      </c>
      <c r="C5" s="9" t="n">
        <v>28</v>
      </c>
      <c r="D5" s="9" t="n">
        <v>8</v>
      </c>
      <c r="E5" s="10" t="n">
        <v>150</v>
      </c>
      <c r="F5" s="10" t="n">
        <v>100</v>
      </c>
      <c r="G5" s="21" t="n">
        <f aca="false">ROUND(1+Inputs!$B$8*((1+(E5)/Inputs!$B$9)^Inputs!$B$10-1),0)</f>
        <v>11</v>
      </c>
      <c r="H5" s="13" t="n">
        <f aca="false">Inputs!$B$5+Inputs!$B$6*(F5)/((F5)+Inputs!$B$7)</f>
        <v>40.4848484848485</v>
      </c>
      <c r="I5" s="21" t="n">
        <f aca="false">ROUND((3*(Inputs!$B$14+C5)*((Inputs!$B$14+C5)+1)+1-(3*Inputs!$B$14*(Inputs!$B$14+1)+1))*(1-Inputs!$B$15),0)</f>
        <v>2948</v>
      </c>
      <c r="J5" s="21" t="n">
        <f aca="false">ROUND(I5/Rarity!$B$12,0)</f>
        <v>2948</v>
      </c>
      <c r="K5" s="21" t="n">
        <f aca="false">I5*D5</f>
        <v>23584</v>
      </c>
      <c r="L5" s="21" t="n">
        <f aca="false">(Inputs!$B$14+C5)*Inputs!$B$13</f>
        <v>264</v>
      </c>
      <c r="M5" s="21" t="n">
        <f aca="false">2/3*(L5^3-(Inputs!$B$14*Inputs!$B$13)^3)/(L5^2-(Inputs!$B$14*Inputs!$B$13)^2)</f>
        <v>179.508771929825</v>
      </c>
      <c r="N5" s="13" t="n">
        <f aca="false">2*M5/H5+Inputs!$B$16+Inputs!$B$17</f>
        <v>10.3679483138985</v>
      </c>
      <c r="O5" s="25" t="n">
        <f aca="false">K5/(G5*60/N5*Inputs!$B$4)</f>
        <v>12.3493784361102</v>
      </c>
      <c r="P5" s="21" t="n">
        <f aca="false">G5*60/N5*Rarity!$B$13</f>
        <v>68.5721011019075</v>
      </c>
      <c r="Q5" s="3" t="str">
        <f aca="false">IF(J5&gt;5000,"Test performance: &gt;5,000 trees",IF(OR(O5&lt;9,O5&gt;15),"Fill time outside 9 to 15 min","OK"))</f>
        <v>OK</v>
      </c>
    </row>
    <row r="6" customFormat="false" ht="15" hidden="false" customHeight="true" outlineLevel="0" collapsed="false">
      <c r="A6" s="23" t="n">
        <v>2</v>
      </c>
      <c r="B6" s="5" t="s">
        <v>124</v>
      </c>
      <c r="C6" s="9" t="n">
        <v>28</v>
      </c>
      <c r="D6" s="9" t="n">
        <v>21</v>
      </c>
      <c r="E6" s="10" t="n">
        <v>800</v>
      </c>
      <c r="F6" s="10" t="n">
        <v>300</v>
      </c>
      <c r="G6" s="21" t="n">
        <f aca="false">ROUND(1+Inputs!$B$8*((1+(E6)/Inputs!$B$9)^Inputs!$B$10-1),0)</f>
        <v>25</v>
      </c>
      <c r="H6" s="13" t="n">
        <f aca="false">Inputs!$B$5+Inputs!$B$6*(F6)/((F6)+Inputs!$B$7)</f>
        <v>47.8490566037736</v>
      </c>
      <c r="I6" s="21" t="n">
        <f aca="false">ROUND((3*(Inputs!$B$14+C6)*((Inputs!$B$14+C6)+1)+1-(3*Inputs!$B$14*(Inputs!$B$14+1)+1))*(1-Inputs!$B$15),0)</f>
        <v>2948</v>
      </c>
      <c r="J6" s="21" t="n">
        <f aca="false">ROUND(I6/Rarity!$B$12,0)</f>
        <v>2948</v>
      </c>
      <c r="K6" s="21" t="n">
        <f aca="false">I6*D6</f>
        <v>61908</v>
      </c>
      <c r="L6" s="21" t="n">
        <f aca="false">(Inputs!$B$14+C6)*Inputs!$B$13</f>
        <v>264</v>
      </c>
      <c r="M6" s="21" t="n">
        <f aca="false">2/3*(L6^3-(Inputs!$B$14*Inputs!$B$13)^3)/(L6^2-(Inputs!$B$14*Inputs!$B$13)^2)</f>
        <v>179.508771929825</v>
      </c>
      <c r="N6" s="13" t="n">
        <f aca="false">2*M6/H6+Inputs!$B$16+Inputs!$B$17</f>
        <v>9.00312690242958</v>
      </c>
      <c r="O6" s="25" t="n">
        <f aca="false">K6/(G6*60/N6*Inputs!$B$4)</f>
        <v>12.3859017839024</v>
      </c>
      <c r="P6" s="21" t="n">
        <f aca="false">G6*60/N6*Rarity!$B$13</f>
        <v>179.470979084385</v>
      </c>
      <c r="Q6" s="3" t="str">
        <f aca="false">IF(J6&gt;5000,"Test performance: &gt;5,000 trees",IF(OR(O6&lt;9,O6&gt;15),"Fill time outside 9 to 15 min","OK"))</f>
        <v>OK</v>
      </c>
    </row>
    <row r="7" customFormat="false" ht="15" hidden="false" customHeight="true" outlineLevel="0" collapsed="false"/>
    <row r="8" customFormat="false" ht="15" hidden="false" customHeight="true" outlineLevel="0" collapsed="false">
      <c r="A8" s="7" t="s">
        <v>125</v>
      </c>
    </row>
    <row r="9" customFormat="false" ht="15" hidden="false" customHeight="true" outlineLevel="0" collapsed="false">
      <c r="A9" s="7" t="s">
        <v>126</v>
      </c>
    </row>
    <row r="10" customFormat="false" ht="15" hidden="false" customHeight="true" outlineLevel="0" collapsed="false">
      <c r="A10" s="7" t="s">
        <v>127</v>
      </c>
    </row>
    <row r="11" customFormat="false" ht="15" hidden="false" customHeight="true" outlineLevel="0" collapsed="false"/>
    <row r="12" customFormat="false" ht="15" hidden="false" customHeight="true" outlineLevel="0" collapsed="false"/>
    <row r="13" customFormat="false" ht="15" hidden="false" customHeight="true" outlineLevel="0" collapsed="false"/>
    <row r="15" customFormat="false" ht="15" hidden="false" customHeight="true" outlineLevel="0" collapsed="false"/>
    <row r="16" customFormat="false" ht="1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46"/>
    <col collapsed="false" customWidth="true" hidden="false" outlineLevel="0" max="3" min="3" style="1" width="10"/>
    <col collapsed="false" customWidth="true" hidden="false" outlineLevel="0" max="4" min="4" style="1" width="8"/>
    <col collapsed="false" customWidth="true" hidden="false" outlineLevel="0" max="10" min="5" style="1" width="9"/>
    <col collapsed="false" customWidth="true" hidden="false" outlineLevel="0" max="11" min="11" style="1" width="12"/>
  </cols>
  <sheetData>
    <row r="1" customFormat="false" ht="17.25" hidden="false" customHeight="true" outlineLevel="0" collapsed="false">
      <c r="A1" s="2" t="s">
        <v>128</v>
      </c>
    </row>
    <row r="2" customFormat="false" ht="15" hidden="false" customHeight="true" outlineLevel="0" collapsed="false">
      <c r="A2" s="7" t="s">
        <v>129</v>
      </c>
    </row>
    <row r="4" customFormat="false" ht="31.5" hidden="false" customHeight="true" outlineLevel="0" collapsed="false">
      <c r="A4" s="8" t="s">
        <v>130</v>
      </c>
      <c r="B4" s="8" t="s">
        <v>131</v>
      </c>
      <c r="C4" s="8" t="s">
        <v>132</v>
      </c>
      <c r="D4" s="8" t="s">
        <v>133</v>
      </c>
      <c r="E4" s="8" t="s">
        <v>134</v>
      </c>
      <c r="F4" s="8" t="s">
        <v>135</v>
      </c>
      <c r="G4" s="8" t="s">
        <v>136</v>
      </c>
      <c r="H4" s="8" t="s">
        <v>137</v>
      </c>
      <c r="I4" s="8" t="s">
        <v>138</v>
      </c>
      <c r="J4" s="8" t="s">
        <v>139</v>
      </c>
      <c r="K4" s="8" t="s">
        <v>140</v>
      </c>
    </row>
    <row r="5" customFormat="false" ht="15" hidden="false" customHeight="true" outlineLevel="0" collapsed="false">
      <c r="A5" s="5" t="s">
        <v>141</v>
      </c>
      <c r="B5" s="5" t="s">
        <v>142</v>
      </c>
      <c r="C5" s="10" t="n">
        <v>50</v>
      </c>
      <c r="D5" s="15" t="n">
        <v>4</v>
      </c>
      <c r="E5" s="9" t="n">
        <v>5</v>
      </c>
      <c r="F5" s="21" t="n">
        <f aca="false">IF(1&lt;=E5,ROUND(C5*D5^(1-1),0),"")</f>
        <v>50</v>
      </c>
      <c r="G5" s="21" t="n">
        <f aca="false">IF(2&lt;=E5,ROUND(C5*D5^(2-1),0),"")</f>
        <v>200</v>
      </c>
      <c r="H5" s="21" t="n">
        <f aca="false">IF(3&lt;=E5,ROUND(C5*D5^(3-1),0),"")</f>
        <v>800</v>
      </c>
      <c r="I5" s="21" t="n">
        <f aca="false">IF(4&lt;=E5,ROUND(C5*D5^(4-1),0),"")</f>
        <v>3200</v>
      </c>
      <c r="J5" s="21" t="n">
        <f aca="false">IF(5&lt;=E5,ROUND(C5*D5^(5-1),0),"")</f>
        <v>12800</v>
      </c>
      <c r="K5" s="26" t="n">
        <f aca="false">SUM(F5:J5)</f>
        <v>17050</v>
      </c>
    </row>
    <row r="6" customFormat="false" ht="15" hidden="false" customHeight="true" outlineLevel="0" collapsed="false">
      <c r="A6" s="5" t="s">
        <v>143</v>
      </c>
      <c r="B6" s="5" t="s">
        <v>144</v>
      </c>
      <c r="C6" s="10" t="n">
        <v>50</v>
      </c>
      <c r="D6" s="15" t="n">
        <v>4</v>
      </c>
      <c r="E6" s="9" t="n">
        <v>5</v>
      </c>
      <c r="F6" s="21" t="n">
        <f aca="false">IF(1&lt;=E6,ROUND(C6*D6^(1-1),0),"")</f>
        <v>50</v>
      </c>
      <c r="G6" s="21" t="n">
        <f aca="false">IF(2&lt;=E6,ROUND(C6*D6^(2-1),0),"")</f>
        <v>200</v>
      </c>
      <c r="H6" s="21" t="n">
        <f aca="false">IF(3&lt;=E6,ROUND(C6*D6^(3-1),0),"")</f>
        <v>800</v>
      </c>
      <c r="I6" s="21" t="n">
        <f aca="false">IF(4&lt;=E6,ROUND(C6*D6^(4-1),0),"")</f>
        <v>3200</v>
      </c>
      <c r="J6" s="21" t="n">
        <f aca="false">IF(5&lt;=E6,ROUND(C6*D6^(5-1),0),"")</f>
        <v>12800</v>
      </c>
      <c r="K6" s="26" t="n">
        <f aca="false">SUM(F6:J6)</f>
        <v>17050</v>
      </c>
    </row>
    <row r="7" customFormat="false" ht="15" hidden="false" customHeight="true" outlineLevel="0" collapsed="false">
      <c r="A7" s="5" t="s">
        <v>145</v>
      </c>
      <c r="B7" s="5" t="s">
        <v>146</v>
      </c>
      <c r="C7" s="10" t="n">
        <v>100</v>
      </c>
      <c r="D7" s="15" t="n">
        <v>3</v>
      </c>
      <c r="E7" s="9" t="n">
        <v>5</v>
      </c>
      <c r="F7" s="21" t="n">
        <f aca="false">IF(1&lt;=E7,ROUND(C7*D7^(1-1),0),"")</f>
        <v>100</v>
      </c>
      <c r="G7" s="21" t="n">
        <f aca="false">IF(2&lt;=E7,ROUND(C7*D7^(2-1),0),"")</f>
        <v>300</v>
      </c>
      <c r="H7" s="21" t="n">
        <f aca="false">IF(3&lt;=E7,ROUND(C7*D7^(3-1),0),"")</f>
        <v>900</v>
      </c>
      <c r="I7" s="21" t="n">
        <f aca="false">IF(4&lt;=E7,ROUND(C7*D7^(4-1),0),"")</f>
        <v>2700</v>
      </c>
      <c r="J7" s="21" t="n">
        <f aca="false">IF(5&lt;=E7,ROUND(C7*D7^(5-1),0),"")</f>
        <v>8100</v>
      </c>
      <c r="K7" s="26" t="n">
        <f aca="false">SUM(F7:J7)</f>
        <v>12100</v>
      </c>
    </row>
    <row r="8" customFormat="false" ht="15" hidden="false" customHeight="true" outlineLevel="0" collapsed="false">
      <c r="A8" s="5" t="s">
        <v>147</v>
      </c>
      <c r="B8" s="5" t="s">
        <v>148</v>
      </c>
      <c r="C8" s="10" t="n">
        <v>75</v>
      </c>
      <c r="D8" s="15" t="n">
        <v>3</v>
      </c>
      <c r="E8" s="9" t="n">
        <v>5</v>
      </c>
      <c r="F8" s="21" t="n">
        <f aca="false">IF(1&lt;=E8,ROUND(C8*D8^(1-1),0),"")</f>
        <v>75</v>
      </c>
      <c r="G8" s="21" t="n">
        <f aca="false">IF(2&lt;=E8,ROUND(C8*D8^(2-1),0),"")</f>
        <v>225</v>
      </c>
      <c r="H8" s="21" t="n">
        <f aca="false">IF(3&lt;=E8,ROUND(C8*D8^(3-1),0),"")</f>
        <v>675</v>
      </c>
      <c r="I8" s="21" t="n">
        <f aca="false">IF(4&lt;=E8,ROUND(C8*D8^(4-1),0),"")</f>
        <v>2025</v>
      </c>
      <c r="J8" s="21" t="n">
        <f aca="false">IF(5&lt;=E8,ROUND(C8*D8^(5-1),0),"")</f>
        <v>6075</v>
      </c>
      <c r="K8" s="26" t="n">
        <f aca="false">SUM(F8:J8)</f>
        <v>9075</v>
      </c>
    </row>
    <row r="9" customFormat="false" ht="15" hidden="false" customHeight="true" outlineLevel="0" collapsed="false">
      <c r="A9" s="5" t="s">
        <v>149</v>
      </c>
      <c r="B9" s="5" t="s">
        <v>150</v>
      </c>
      <c r="C9" s="10" t="n">
        <v>60</v>
      </c>
      <c r="D9" s="15" t="n">
        <v>3</v>
      </c>
      <c r="E9" s="9" t="n">
        <v>5</v>
      </c>
      <c r="F9" s="21" t="n">
        <f aca="false">IF(1&lt;=E9,ROUND(C9*D9^(1-1),0),"")</f>
        <v>60</v>
      </c>
      <c r="G9" s="21" t="n">
        <f aca="false">IF(2&lt;=E9,ROUND(C9*D9^(2-1),0),"")</f>
        <v>180</v>
      </c>
      <c r="H9" s="21" t="n">
        <f aca="false">IF(3&lt;=E9,ROUND(C9*D9^(3-1),0),"")</f>
        <v>540</v>
      </c>
      <c r="I9" s="21" t="n">
        <f aca="false">IF(4&lt;=E9,ROUND(C9*D9^(4-1),0),"")</f>
        <v>1620</v>
      </c>
      <c r="J9" s="21" t="n">
        <f aca="false">IF(5&lt;=E9,ROUND(C9*D9^(5-1),0),"")</f>
        <v>4860</v>
      </c>
      <c r="K9" s="26" t="n">
        <f aca="false">SUM(F9:J9)</f>
        <v>7260</v>
      </c>
    </row>
    <row r="10" customFormat="false" ht="15" hidden="false" customHeight="true" outlineLevel="0" collapsed="false">
      <c r="A10" s="5" t="s">
        <v>151</v>
      </c>
      <c r="B10" s="5" t="s">
        <v>152</v>
      </c>
      <c r="C10" s="10" t="n">
        <v>500</v>
      </c>
      <c r="D10" s="15" t="n">
        <v>4</v>
      </c>
      <c r="E10" s="9" t="n">
        <v>5</v>
      </c>
      <c r="F10" s="21" t="n">
        <f aca="false">IF(1&lt;=E10,ROUND(C10*D10^(1-1),0),"")</f>
        <v>500</v>
      </c>
      <c r="G10" s="21" t="n">
        <f aca="false">IF(2&lt;=E10,ROUND(C10*D10^(2-1),0),"")</f>
        <v>2000</v>
      </c>
      <c r="H10" s="21" t="n">
        <f aca="false">IF(3&lt;=E10,ROUND(C10*D10^(3-1),0),"")</f>
        <v>8000</v>
      </c>
      <c r="I10" s="21" t="n">
        <f aca="false">IF(4&lt;=E10,ROUND(C10*D10^(4-1),0),"")</f>
        <v>32000</v>
      </c>
      <c r="J10" s="21" t="n">
        <f aca="false">IF(5&lt;=E10,ROUND(C10*D10^(5-1),0),"")</f>
        <v>128000</v>
      </c>
      <c r="K10" s="26" t="n">
        <f aca="false">SUM(F10:J10)</f>
        <v>170500</v>
      </c>
    </row>
    <row r="11" customFormat="false" ht="15" hidden="false" customHeight="true" outlineLevel="0" collapsed="false"/>
    <row r="12" customFormat="false" ht="15" hidden="false" customHeight="true" outlineLevel="0" collapsed="false">
      <c r="A12" s="7" t="s">
        <v>153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2"/>
    <col collapsed="false" customWidth="true" hidden="false" outlineLevel="0" max="4" min="3" style="1" width="15"/>
    <col collapsed="false" customWidth="true" hidden="false" outlineLevel="0" max="5" min="5" style="1" width="12"/>
    <col collapsed="false" customWidth="true" hidden="false" outlineLevel="0" max="6" min="6" style="1" width="22"/>
  </cols>
  <sheetData>
    <row r="1" customFormat="false" ht="17.25" hidden="false" customHeight="true" outlineLevel="0" collapsed="false">
      <c r="A1" s="2" t="s">
        <v>154</v>
      </c>
    </row>
    <row r="3" customFormat="false" ht="15" hidden="false" customHeight="true" outlineLevel="0" collapsed="false">
      <c r="A3" s="3" t="s">
        <v>155</v>
      </c>
      <c r="B3" s="9" t="n">
        <v>10</v>
      </c>
    </row>
    <row r="4" customFormat="false" ht="15" hidden="false" customHeight="true" outlineLevel="0" collapsed="false">
      <c r="A4" s="3" t="s">
        <v>156</v>
      </c>
      <c r="B4" s="11" t="n">
        <v>2.5</v>
      </c>
    </row>
    <row r="5" customFormat="false" ht="15" hidden="false" customHeight="true" outlineLevel="0" collapsed="false">
      <c r="A5" s="3" t="s">
        <v>157</v>
      </c>
      <c r="B5" s="27" t="n">
        <f aca="false">B4/(B3+B4)</f>
        <v>0.2</v>
      </c>
    </row>
    <row r="7" customFormat="false" ht="31.5" hidden="false" customHeight="true" outlineLevel="0" collapsed="false">
      <c r="A7" s="8" t="s">
        <v>158</v>
      </c>
      <c r="B7" s="8" t="s">
        <v>159</v>
      </c>
      <c r="C7" s="8" t="s">
        <v>160</v>
      </c>
      <c r="D7" s="8" t="s">
        <v>161</v>
      </c>
      <c r="E7" s="8" t="s">
        <v>162</v>
      </c>
      <c r="F7" s="8" t="s">
        <v>163</v>
      </c>
    </row>
    <row r="8" customFormat="false" ht="15" hidden="false" customHeight="true" outlineLevel="0" collapsed="false">
      <c r="A8" s="5" t="s">
        <v>164</v>
      </c>
      <c r="B8" s="5" t="s">
        <v>165</v>
      </c>
      <c r="C8" s="20" t="n">
        <v>2</v>
      </c>
      <c r="D8" s="14" t="n">
        <v>0.2</v>
      </c>
      <c r="E8" s="9" t="n">
        <v>40</v>
      </c>
      <c r="F8" s="28" t="n">
        <f aca="false">(C8-1)*D8</f>
        <v>0.2</v>
      </c>
    </row>
    <row r="9" customFormat="false" ht="15" hidden="false" customHeight="true" outlineLevel="0" collapsed="false">
      <c r="A9" s="5" t="s">
        <v>166</v>
      </c>
      <c r="B9" s="5" t="s">
        <v>167</v>
      </c>
      <c r="C9" s="20" t="n">
        <v>3</v>
      </c>
      <c r="D9" s="14" t="n">
        <v>0.12</v>
      </c>
      <c r="E9" s="9" t="n">
        <v>25</v>
      </c>
      <c r="F9" s="28" t="n">
        <f aca="false">(C9-1)*D9</f>
        <v>0.24</v>
      </c>
    </row>
    <row r="10" customFormat="false" ht="15" hidden="false" customHeight="true" outlineLevel="0" collapsed="false">
      <c r="A10" s="5" t="s">
        <v>168</v>
      </c>
      <c r="B10" s="5" t="s">
        <v>169</v>
      </c>
      <c r="C10" s="20" t="n">
        <v>5</v>
      </c>
      <c r="D10" s="14" t="n">
        <v>0.06</v>
      </c>
      <c r="E10" s="9" t="n">
        <v>20</v>
      </c>
      <c r="F10" s="28" t="n">
        <f aca="false">(C10-1)*D10</f>
        <v>0.24</v>
      </c>
    </row>
    <row r="11" customFormat="false" ht="15" hidden="false" customHeight="true" outlineLevel="0" collapsed="false">
      <c r="A11" s="5" t="s">
        <v>170</v>
      </c>
      <c r="B11" s="5" t="s">
        <v>171</v>
      </c>
      <c r="C11" s="20" t="n">
        <v>10</v>
      </c>
      <c r="D11" s="14" t="n">
        <v>0.03</v>
      </c>
      <c r="E11" s="9" t="n">
        <v>10</v>
      </c>
      <c r="F11" s="28" t="n">
        <f aca="false">(C11-1)*D11</f>
        <v>0.27</v>
      </c>
    </row>
    <row r="12" customFormat="false" ht="15" hidden="false" customHeight="true" outlineLevel="0" collapsed="false">
      <c r="A12" s="5" t="s">
        <v>172</v>
      </c>
      <c r="B12" s="5" t="s">
        <v>173</v>
      </c>
      <c r="C12" s="20" t="n">
        <v>20</v>
      </c>
      <c r="D12" s="14" t="n">
        <v>0.01</v>
      </c>
      <c r="E12" s="9" t="n">
        <v>5</v>
      </c>
      <c r="F12" s="28" t="n">
        <f aca="false">(C12-1)*D12</f>
        <v>0.19</v>
      </c>
    </row>
    <row r="14" customFormat="false" ht="15" hidden="false" customHeight="true" outlineLevel="0" collapsed="false">
      <c r="A14" s="4" t="s">
        <v>174</v>
      </c>
      <c r="B14" s="29" t="n">
        <f aca="false">SUMPRODUCT(E8:E12,F8:F12)/SUM(E8:E12)</f>
        <v>0.2245</v>
      </c>
    </row>
    <row r="15" customFormat="false" ht="15" hidden="false" customHeight="true" outlineLevel="0" collapsed="false">
      <c r="A15" s="4" t="s">
        <v>175</v>
      </c>
      <c r="B15" s="29" t="n">
        <f aca="false">B14*B5</f>
        <v>0.0449</v>
      </c>
    </row>
    <row r="17" customFormat="false" ht="15" hidden="false" customHeight="true" outlineLevel="0" collapsed="false">
      <c r="A17" s="7" t="s">
        <v>176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2026-10-06T14:47:49Z</dcterms:created>
  <dc:creator>openpyxl</dc:creator>
  <dc:description/>
  <dc:language>en-US</dc:language>
  <cp:lastModifiedBy/>
  <dcterms:modified xsi:type="dcterms:W3CDTF">2026-10-06T15:28:29Z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